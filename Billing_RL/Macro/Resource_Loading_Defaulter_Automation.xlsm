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illing_RL\Macro\"/>
    </mc:Choice>
  </mc:AlternateContent>
  <xr:revisionPtr revIDLastSave="0" documentId="13_ncr:1_{0AF17FA7-EA6C-4418-A740-6D244B2E625B}" xr6:coauthVersionLast="45" xr6:coauthVersionMax="45" xr10:uidLastSave="{00000000-0000-0000-0000-000000000000}"/>
  <bookViews>
    <workbookView xWindow="30" yWindow="30" windowWidth="20460" windowHeight="10890" activeTab="4" xr2:uid="{00000000-000D-0000-FFFF-FFFF00000000}"/>
  </bookViews>
  <sheets>
    <sheet name="MACRO" sheetId="2" r:id="rId1"/>
    <sheet name="Team Detail" sheetId="3" r:id="rId2"/>
    <sheet name="RAW DATA" sheetId="1" r:id="rId3"/>
    <sheet name="CALCULATION" sheetId="4" r:id="rId4"/>
    <sheet name="DEFAULTERS" sheetId="5" r:id="rId5"/>
  </sheets>
  <definedNames>
    <definedName name="_xlnm._FilterDatabase" localSheetId="3" hidden="1">CALCULATION!$A$1:$F$115</definedName>
    <definedName name="_xlnm._FilterDatabase" localSheetId="1" hidden="1">'Team Detail'!$A$1:$C$51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2" i="4"/>
  <c r="D3" i="4"/>
  <c r="F3" i="4" s="1"/>
  <c r="D4" i="4"/>
  <c r="F4" i="4" s="1"/>
  <c r="D5" i="4"/>
  <c r="F5" i="4" s="1"/>
  <c r="D6" i="4"/>
  <c r="F6" i="4" s="1"/>
  <c r="D7" i="4"/>
  <c r="F7" i="4" s="1"/>
  <c r="D8" i="4"/>
  <c r="F8" i="4" s="1"/>
  <c r="D9" i="4"/>
  <c r="F9" i="4" s="1"/>
  <c r="D10" i="4"/>
  <c r="F10" i="4" s="1"/>
  <c r="D11" i="4"/>
  <c r="F11" i="4" s="1"/>
  <c r="D12" i="4"/>
  <c r="F12" i="4" s="1"/>
  <c r="D13" i="4"/>
  <c r="F13" i="4" s="1"/>
  <c r="D14" i="4"/>
  <c r="F14" i="4" s="1"/>
  <c r="D15" i="4"/>
  <c r="F15" i="4" s="1"/>
  <c r="D16" i="4"/>
  <c r="F16" i="4" s="1"/>
  <c r="D17" i="4"/>
  <c r="F17" i="4" s="1"/>
  <c r="D18" i="4"/>
  <c r="F18" i="4" s="1"/>
  <c r="D19" i="4"/>
  <c r="F19" i="4" s="1"/>
  <c r="D20" i="4"/>
  <c r="F20" i="4" s="1"/>
  <c r="D21" i="4"/>
  <c r="F21" i="4" s="1"/>
  <c r="D22" i="4"/>
  <c r="F22" i="4" s="1"/>
  <c r="D23" i="4"/>
  <c r="F23" i="4" s="1"/>
  <c r="D24" i="4"/>
  <c r="F24" i="4" s="1"/>
  <c r="D25" i="4"/>
  <c r="F25" i="4" s="1"/>
  <c r="D26" i="4"/>
  <c r="F26" i="4" s="1"/>
  <c r="D27" i="4"/>
  <c r="F27" i="4" s="1"/>
  <c r="D28" i="4"/>
  <c r="F28" i="4" s="1"/>
  <c r="D29" i="4"/>
  <c r="F29" i="4" s="1"/>
  <c r="D30" i="4"/>
  <c r="F30" i="4" s="1"/>
  <c r="D31" i="4"/>
  <c r="F31" i="4" s="1"/>
  <c r="D32" i="4"/>
  <c r="F32" i="4" s="1"/>
  <c r="D33" i="4"/>
  <c r="F33" i="4" s="1"/>
  <c r="D34" i="4"/>
  <c r="F34" i="4" s="1"/>
  <c r="D35" i="4"/>
  <c r="F35" i="4" s="1"/>
  <c r="D36" i="4"/>
  <c r="F36" i="4" s="1"/>
  <c r="D37" i="4"/>
  <c r="F37" i="4" s="1"/>
  <c r="D38" i="4"/>
  <c r="F38" i="4" s="1"/>
  <c r="D39" i="4"/>
  <c r="F39" i="4" s="1"/>
  <c r="D40" i="4"/>
  <c r="F40" i="4" s="1"/>
  <c r="D41" i="4"/>
  <c r="F41" i="4" s="1"/>
  <c r="D42" i="4"/>
  <c r="F42" i="4" s="1"/>
  <c r="D43" i="4"/>
  <c r="F43" i="4" s="1"/>
  <c r="D44" i="4"/>
  <c r="F44" i="4" s="1"/>
  <c r="D45" i="4"/>
  <c r="F45" i="4" s="1"/>
  <c r="D46" i="4"/>
  <c r="F46" i="4" s="1"/>
  <c r="D47" i="4"/>
  <c r="F47" i="4" s="1"/>
  <c r="D48" i="4"/>
  <c r="F48" i="4" s="1"/>
  <c r="D49" i="4"/>
  <c r="F49" i="4" s="1"/>
  <c r="D50" i="4"/>
  <c r="F50" i="4" s="1"/>
  <c r="D51" i="4"/>
  <c r="F51" i="4" s="1"/>
  <c r="D52" i="4"/>
  <c r="F52" i="4" s="1"/>
  <c r="D53" i="4"/>
  <c r="F53" i="4" s="1"/>
  <c r="D54" i="4"/>
  <c r="F54" i="4" s="1"/>
  <c r="D55" i="4"/>
  <c r="F55" i="4" s="1"/>
  <c r="D56" i="4"/>
  <c r="F56" i="4" s="1"/>
  <c r="D57" i="4"/>
  <c r="F57" i="4" s="1"/>
  <c r="D58" i="4"/>
  <c r="F58" i="4" s="1"/>
  <c r="D59" i="4"/>
  <c r="F59" i="4" s="1"/>
  <c r="D60" i="4"/>
  <c r="F60" i="4" s="1"/>
  <c r="D61" i="4"/>
  <c r="F61" i="4" s="1"/>
  <c r="D62" i="4"/>
  <c r="F62" i="4" s="1"/>
  <c r="D63" i="4"/>
  <c r="F63" i="4" s="1"/>
  <c r="D64" i="4"/>
  <c r="F64" i="4" s="1"/>
  <c r="D65" i="4"/>
  <c r="F65" i="4" s="1"/>
  <c r="D66" i="4"/>
  <c r="F66" i="4" s="1"/>
  <c r="D67" i="4"/>
  <c r="F67" i="4" s="1"/>
  <c r="D68" i="4"/>
  <c r="F68" i="4" s="1"/>
  <c r="D69" i="4"/>
  <c r="F69" i="4" s="1"/>
  <c r="D70" i="4"/>
  <c r="F70" i="4" s="1"/>
  <c r="D71" i="4"/>
  <c r="F71" i="4" s="1"/>
  <c r="D72" i="4"/>
  <c r="F72" i="4" s="1"/>
  <c r="D73" i="4"/>
  <c r="F73" i="4" s="1"/>
  <c r="D74" i="4"/>
  <c r="F74" i="4" s="1"/>
  <c r="D75" i="4"/>
  <c r="F75" i="4" s="1"/>
  <c r="D76" i="4"/>
  <c r="F76" i="4" s="1"/>
  <c r="D77" i="4"/>
  <c r="F77" i="4" s="1"/>
  <c r="D78" i="4"/>
  <c r="F78" i="4" s="1"/>
  <c r="D79" i="4"/>
  <c r="F79" i="4" s="1"/>
  <c r="D80" i="4"/>
  <c r="F80" i="4" s="1"/>
  <c r="D81" i="4"/>
  <c r="F81" i="4" s="1"/>
  <c r="D82" i="4"/>
  <c r="F82" i="4" s="1"/>
  <c r="D83" i="4"/>
  <c r="F83" i="4" s="1"/>
  <c r="D84" i="4"/>
  <c r="F84" i="4" s="1"/>
  <c r="D85" i="4"/>
  <c r="F85" i="4" s="1"/>
  <c r="D86" i="4"/>
  <c r="F86" i="4" s="1"/>
  <c r="D87" i="4"/>
  <c r="F87" i="4" s="1"/>
  <c r="D88" i="4"/>
  <c r="F88" i="4" s="1"/>
  <c r="D89" i="4"/>
  <c r="F89" i="4" s="1"/>
  <c r="D90" i="4"/>
  <c r="F90" i="4" s="1"/>
  <c r="D91" i="4"/>
  <c r="F91" i="4" s="1"/>
  <c r="D92" i="4"/>
  <c r="F92" i="4" s="1"/>
  <c r="D93" i="4"/>
  <c r="F93" i="4" s="1"/>
  <c r="D94" i="4"/>
  <c r="F94" i="4" s="1"/>
  <c r="D95" i="4"/>
  <c r="F95" i="4" s="1"/>
  <c r="D96" i="4"/>
  <c r="F96" i="4" s="1"/>
  <c r="D97" i="4"/>
  <c r="F97" i="4" s="1"/>
  <c r="D98" i="4"/>
  <c r="F98" i="4" s="1"/>
  <c r="D99" i="4"/>
  <c r="F99" i="4" s="1"/>
  <c r="D100" i="4"/>
  <c r="F100" i="4" s="1"/>
  <c r="D101" i="4"/>
  <c r="F101" i="4" s="1"/>
  <c r="D102" i="4"/>
  <c r="F102" i="4" s="1"/>
  <c r="D103" i="4"/>
  <c r="F103" i="4" s="1"/>
  <c r="D104" i="4"/>
  <c r="F104" i="4" s="1"/>
  <c r="D105" i="4"/>
  <c r="F105" i="4" s="1"/>
  <c r="D106" i="4"/>
  <c r="F106" i="4" s="1"/>
  <c r="D107" i="4"/>
  <c r="F107" i="4" s="1"/>
  <c r="D108" i="4"/>
  <c r="F108" i="4" s="1"/>
  <c r="D109" i="4"/>
  <c r="F109" i="4" s="1"/>
  <c r="D110" i="4"/>
  <c r="F110" i="4" s="1"/>
  <c r="D111" i="4"/>
  <c r="F111" i="4" s="1"/>
  <c r="D112" i="4"/>
  <c r="F112" i="4" s="1"/>
  <c r="D113" i="4"/>
  <c r="F113" i="4" s="1"/>
  <c r="D114" i="4"/>
  <c r="F114" i="4" s="1"/>
  <c r="D115" i="4"/>
  <c r="F115" i="4" s="1"/>
  <c r="D2" i="4"/>
  <c r="F2" i="4" s="1"/>
</calcChain>
</file>

<file path=xl/sharedStrings.xml><?xml version="1.0" encoding="utf-8"?>
<sst xmlns="http://schemas.openxmlformats.org/spreadsheetml/2006/main" count="2949" uniqueCount="405">
  <si>
    <t>Effort</t>
  </si>
  <si>
    <t>Resource</t>
  </si>
  <si>
    <t>Application</t>
  </si>
  <si>
    <t>Activity</t>
  </si>
  <si>
    <t>Sub Activity</t>
  </si>
  <si>
    <t>Description</t>
  </si>
  <si>
    <t>Effort Hours</t>
  </si>
  <si>
    <t>Timings</t>
  </si>
  <si>
    <t>Priyanka Singh</t>
  </si>
  <si>
    <t>Shamli Chaudhary</t>
  </si>
  <si>
    <t>Vikash Gupta</t>
  </si>
  <si>
    <t>Devesh Patel</t>
  </si>
  <si>
    <t>Surendra Tripathi</t>
  </si>
  <si>
    <t>Shivangi Mishra</t>
  </si>
  <si>
    <t>Shivanshu Gupta</t>
  </si>
  <si>
    <t>Vivek Dogra</t>
  </si>
  <si>
    <t>Nitya Garg</t>
  </si>
  <si>
    <t>Akshay Kumar2</t>
  </si>
  <si>
    <t>Rakesh Sharma</t>
  </si>
  <si>
    <t xml:space="preserve">	Prakash Rai</t>
  </si>
  <si>
    <t>Nivetha Chandrasekar</t>
  </si>
  <si>
    <t>Aditi</t>
  </si>
  <si>
    <t>Mrunali Zade</t>
  </si>
  <si>
    <t>Vaibhav Jain</t>
  </si>
  <si>
    <t>Neha Kamal</t>
  </si>
  <si>
    <t>Mohanraj Manoharan</t>
  </si>
  <si>
    <t>Tapas Gupta</t>
  </si>
  <si>
    <t>Sagar Prasad</t>
  </si>
  <si>
    <t>Bharti Ahuja</t>
  </si>
  <si>
    <t>Jaspreet Kaur</t>
  </si>
  <si>
    <t>Ashish Gupta2</t>
  </si>
  <si>
    <t>Ritish Pal Panjla</t>
  </si>
  <si>
    <t>Manohar Samuel</t>
  </si>
  <si>
    <t>Saumyaa Shekhar</t>
  </si>
  <si>
    <t>Nitin Saxena</t>
  </si>
  <si>
    <t>Ashutosh Tripathi</t>
  </si>
  <si>
    <t>Jatin Singh Bhati</t>
  </si>
  <si>
    <t>Nagender Saroha</t>
  </si>
  <si>
    <t>Shubhani Verma</t>
  </si>
  <si>
    <t>Gaurav Goyal</t>
  </si>
  <si>
    <t>Abhishek Abhishek</t>
  </si>
  <si>
    <t>Tarun Gaur</t>
  </si>
  <si>
    <t>Vibha Kumari</t>
  </si>
  <si>
    <t>Dheeraj Solanki</t>
  </si>
  <si>
    <t>Sumit Kumar</t>
  </si>
  <si>
    <t>Anshulika Rathore</t>
  </si>
  <si>
    <t>Rama Kummari</t>
  </si>
  <si>
    <t>Prabhjot Singh</t>
  </si>
  <si>
    <t>Aradhya Vats</t>
  </si>
  <si>
    <t>Avinash Kumar</t>
  </si>
  <si>
    <t>Reva Rawat</t>
  </si>
  <si>
    <t>Nishant</t>
  </si>
  <si>
    <t>Tanmay Bhardwaj</t>
  </si>
  <si>
    <t>Shruti Agarwal</t>
  </si>
  <si>
    <t>Preeti Wadhwa</t>
  </si>
  <si>
    <t>Shradha Tiwari</t>
  </si>
  <si>
    <t>Anshu Kakkar</t>
  </si>
  <si>
    <t>Testing</t>
  </si>
  <si>
    <t>SYS</t>
  </si>
  <si>
    <t>QBS</t>
  </si>
  <si>
    <t>QBS â€“ Prod Support</t>
  </si>
  <si>
    <t>Eligibility</t>
  </si>
  <si>
    <t>PS Financial EDI</t>
  </si>
  <si>
    <t>Billing EDI</t>
  </si>
  <si>
    <t>Web Billing System</t>
  </si>
  <si>
    <t>H2.0</t>
  </si>
  <si>
    <t>Billing Web</t>
  </si>
  <si>
    <t>IMDB</t>
  </si>
  <si>
    <t>Billing Front End</t>
  </si>
  <si>
    <t>Centricity Business</t>
  </si>
  <si>
    <t>CapTracks</t>
  </si>
  <si>
    <t>Enhancements less than 80 hour</t>
  </si>
  <si>
    <t>Others</t>
  </si>
  <si>
    <t>Production Support - Non IM activities</t>
  </si>
  <si>
    <t>Production Support - IM activities</t>
  </si>
  <si>
    <t>Enhancements greater than 80 hour</t>
  </si>
  <si>
    <t>Internal Meeting</t>
  </si>
  <si>
    <t>Customer meeting</t>
  </si>
  <si>
    <t>Break</t>
  </si>
  <si>
    <t>Non IM activity</t>
  </si>
  <si>
    <t>Self learning</t>
  </si>
  <si>
    <t>TCS internal Training</t>
  </si>
  <si>
    <t>Sev-9</t>
  </si>
  <si>
    <t>Leave</t>
  </si>
  <si>
    <t>IM activity</t>
  </si>
  <si>
    <t>Coding</t>
  </si>
  <si>
    <t>Enhancement</t>
  </si>
  <si>
    <t>Documentation</t>
  </si>
  <si>
    <t>Analysis &amp; Design</t>
  </si>
  <si>
    <t>Post Implementation</t>
  </si>
  <si>
    <t>TCS internal Project Management</t>
  </si>
  <si>
    <t>Knowledge Transition from Quest</t>
  </si>
  <si>
    <t>Billing Testing Team Meeting</t>
  </si>
  <si>
    <t>BW Call</t>
  </si>
  <si>
    <t>BW_(7C) INC034496 _Tokenization Effort - Part 2  - External client</t>
  </si>
  <si>
    <t>BW_(7B) INC034496 _Tokenization Effort - Part 2  - Employee Large Payment, View payment details (Jim)</t>
  </si>
  <si>
    <t>BW_(7A) INC034496 _Tokenization Effort - Part 2 - non-registered patient billing, internal billing, patient batch 33</t>
  </si>
  <si>
    <t>LSM Call</t>
  </si>
  <si>
    <t>BW Regression</t>
  </si>
  <si>
    <t>GBFW</t>
  </si>
  <si>
    <t>prs daily stand up</t>
  </si>
  <si>
    <t>Nimon - Kaizen NB Effort - QBS NB Changes PSC Impacting</t>
  </si>
  <si>
    <t>Phase 2 Pre registration payments easy pay</t>
  </si>
  <si>
    <t>break</t>
  </si>
  <si>
    <t>billing testing daily stand up</t>
  </si>
  <si>
    <t>lsm call</t>
  </si>
  <si>
    <t>pre reg call</t>
  </si>
  <si>
    <t>Leads meeting</t>
  </si>
  <si>
    <t>Session on Agile Management</t>
  </si>
  <si>
    <t>Email followup</t>
  </si>
  <si>
    <t>PRS Daily standup call</t>
  </si>
  <si>
    <t>Selenium Training</t>
  </si>
  <si>
    <t>Agile Training</t>
  </si>
  <si>
    <t>BW_INC035638 - Edge Issue - Fix BW Admin call center button --Edit Call center button</t>
  </si>
  <si>
    <t>Daily meetings- SYS, BW, tower meeting</t>
  </si>
  <si>
    <t>MSR</t>
  </si>
  <si>
    <t>Lunch Break</t>
  </si>
  <si>
    <t>Billing Testing Team Standup call</t>
  </si>
  <si>
    <t>US29359: PRS - UI - Manage Account can't change email case</t>
  </si>
  <si>
    <t>I&amp;I_ Charitable Contributions ESD approver updates</t>
  </si>
  <si>
    <t>evolve daily stand up</t>
  </si>
  <si>
    <t>Billing_testing daily stand up</t>
  </si>
  <si>
    <t>SCTASK0036391</t>
  </si>
  <si>
    <t>TCS Offshore Holiday</t>
  </si>
  <si>
    <t>Batch support - Holiday</t>
  </si>
  <si>
    <t>TCS Holiday</t>
  </si>
  <si>
    <t>INC028867 - Phase II</t>
  </si>
  <si>
    <t>INC0227145</t>
  </si>
  <si>
    <t>PRJ006321</t>
  </si>
  <si>
    <t>INC034706 - Merged Accessions In QBS Extract for ARBRR</t>
  </si>
  <si>
    <t>INC0206838</t>
  </si>
  <si>
    <t>INC0246331- Batch abend</t>
  </si>
  <si>
    <t>PRJ006330 Expanded Site Code Project</t>
  </si>
  <si>
    <t>Master Tracker</t>
  </si>
  <si>
    <t>eInvoice</t>
  </si>
  <si>
    <t>DSR</t>
  </si>
  <si>
    <t>Daily meeting</t>
  </si>
  <si>
    <t>DSR &amp; Internal meeting</t>
  </si>
  <si>
    <t>QBS daily status call</t>
  </si>
  <si>
    <t>SCTASK0036144</t>
  </si>
  <si>
    <t>Monthly RL Consolidation</t>
  </si>
  <si>
    <t>Kane county queries</t>
  </si>
  <si>
    <t>Zotec Task</t>
  </si>
  <si>
    <t>Prod support BA481MP analysis and fix</t>
  </si>
  <si>
    <t>Project Management</t>
  </si>
  <si>
    <t>Incident + User queries</t>
  </si>
  <si>
    <t>WSR + MSR + Master Tracker</t>
  </si>
  <si>
    <t>Daily status meeting</t>
  </si>
  <si>
    <t>SCTASK0036099 - Auto BTT task</t>
  </si>
  <si>
    <t>Daily meeting + Emails + Documentation</t>
  </si>
  <si>
    <t>data pull</t>
  </si>
  <si>
    <t>INC031542</t>
  </si>
  <si>
    <t>Prominence</t>
  </si>
  <si>
    <t>Mailbox monitoring, internal call</t>
  </si>
  <si>
    <t>Requal Support</t>
  </si>
  <si>
    <t>Batch Monitoring and training</t>
  </si>
  <si>
    <t>INC0246331 - BA128DP abend</t>
  </si>
  <si>
    <t>Daily Calls</t>
  </si>
  <si>
    <t>Domain training completion</t>
  </si>
  <si>
    <t>INC0242423</t>
  </si>
  <si>
    <t>Daily status call</t>
  </si>
  <si>
    <t>PRJ005851</t>
  </si>
  <si>
    <t>SCTASK0036074</t>
  </si>
  <si>
    <t>Team Meeting</t>
  </si>
  <si>
    <t>SCTASK0035268</t>
  </si>
  <si>
    <t>SCTASK0035180</t>
  </si>
  <si>
    <t>SCTASK0036177</t>
  </si>
  <si>
    <t>PRJ006330 - Site Code Expansion</t>
  </si>
  <si>
    <t>Daily internal call at 1pm</t>
  </si>
  <si>
    <t>Daily Internal Meeting</t>
  </si>
  <si>
    <t>INC035747</t>
  </si>
  <si>
    <t>Status call</t>
  </si>
  <si>
    <t>INC031542 - Ph 4</t>
  </si>
  <si>
    <t>PRJ004877</t>
  </si>
  <si>
    <t>PRJ005562</t>
  </si>
  <si>
    <t>SCTASK0036458</t>
  </si>
  <si>
    <t>Holiday</t>
  </si>
  <si>
    <t>Good Friday</t>
  </si>
  <si>
    <t>Batch Monitoring</t>
  </si>
  <si>
    <t>INC0247763</t>
  </si>
  <si>
    <t>Prod support</t>
  </si>
  <si>
    <t>Batch Support</t>
  </si>
  <si>
    <t>TCS HOLIDAY</t>
  </si>
  <si>
    <t>Holiday, Good Friday</t>
  </si>
  <si>
    <t>Easter</t>
  </si>
  <si>
    <t>mailbox monitoring , internal call</t>
  </si>
  <si>
    <t>INC0203767</t>
  </si>
  <si>
    <t>WSR</t>
  </si>
  <si>
    <t>follow ups</t>
  </si>
  <si>
    <t>Mailbox Monitoring</t>
  </si>
  <si>
    <t>connecticare</t>
  </si>
  <si>
    <t>work with DB</t>
  </si>
  <si>
    <t>penn state logs</t>
  </si>
  <si>
    <t>Daily Run Monitoring</t>
  </si>
  <si>
    <t>file tracker clean up</t>
  </si>
  <si>
    <t>internal meeting/kanban</t>
  </si>
  <si>
    <t>[#TYU-415-95194]: Missing 835 for offallnrsc INC0227137</t>
  </si>
  <si>
    <t>MSR data</t>
  </si>
  <si>
    <t>wsr Review/file tracker/sweeper report</t>
  </si>
  <si>
    <t>HPSM monitoring</t>
  </si>
  <si>
    <t>read and replied to emails,assisted team in their ongoing issues,</t>
  </si>
  <si>
    <t>interna leads call and Kanban meeting with team.</t>
  </si>
  <si>
    <t>INC034009</t>
  </si>
  <si>
    <t>testing of 271 for INC034576</t>
  </si>
  <si>
    <t>Site code expansion</t>
  </si>
  <si>
    <t>daily status call</t>
  </si>
  <si>
    <t>FSCM call</t>
  </si>
  <si>
    <t>Tranzact Invoices-03/31</t>
  </si>
  <si>
    <t>PRJ006440</t>
  </si>
  <si>
    <t>PRJ006114</t>
  </si>
  <si>
    <t>Prepared and shared MSR</t>
  </si>
  <si>
    <t>IVR Payment web service</t>
  </si>
  <si>
    <t>Casual Leave</t>
  </si>
  <si>
    <t>Checking emails and meetings</t>
  </si>
  <si>
    <t>Internal status call and meeting</t>
  </si>
  <si>
    <t>Lunch</t>
  </si>
  <si>
    <t>WSR and standup cal</t>
  </si>
  <si>
    <t>Review MT March'21.xlsx</t>
  </si>
  <si>
    <t>worked on IMs</t>
  </si>
  <si>
    <t>m drive and report</t>
  </si>
  <si>
    <t>Manuals files processing</t>
  </si>
  <si>
    <t>hcm monitoring and support</t>
  </si>
  <si>
    <t>kanban report</t>
  </si>
  <si>
    <t>xmitfailed files processing</t>
  </si>
  <si>
    <t>worked on Ideas</t>
  </si>
  <si>
    <t>email review and respond, planning and coordination</t>
  </si>
  <si>
    <t>IMDB MSR - Mar'21</t>
  </si>
  <si>
    <t>Status Meeting</t>
  </si>
  <si>
    <t>pragma meeting</t>
  </si>
  <si>
    <t>WSR meeting</t>
  </si>
  <si>
    <t>INC0246661: Swap Space alert in outside office hours</t>
  </si>
  <si>
    <t>INC0246672: Assisted new partner named MDLive to connect with H20 in QA</t>
  </si>
  <si>
    <t>INC0246681: Assisted and coordinated for new partner named 'Heathone' to connect with H2.0 in QA</t>
  </si>
  <si>
    <t>INC0246434: Monitored H2.0 for MQ Queue alert in production</t>
  </si>
  <si>
    <t>INC0243042: Assisted new partner named 'Aetna' to connect with H2.0 in QA</t>
  </si>
  <si>
    <t>INC0246712: Assisted new partner named 'corporate website' to connect with H2.0 in QA</t>
  </si>
  <si>
    <t>Made changes to WSR and shared across, RL and SNOW updates</t>
  </si>
  <si>
    <t>Internal meetings - helped abhinav with MSR, calls with Om, calls with Mansi</t>
  </si>
  <si>
    <t>console monitoring</t>
  </si>
  <si>
    <t>processing out cleanup</t>
  </si>
  <si>
    <t>Daily Status Call</t>
  </si>
  <si>
    <t>INC0235575 - MISSING SLI UHC 835 FILES</t>
  </si>
  <si>
    <t>self learning</t>
  </si>
  <si>
    <t>Mailbox report, manual report, MOM</t>
  </si>
  <si>
    <t>standup call</t>
  </si>
  <si>
    <t>Production Monitoring - Xmitfailed</t>
  </si>
  <si>
    <t>Manuals</t>
  </si>
  <si>
    <t>Production Monitoring - BAD</t>
  </si>
  <si>
    <t>INC0246350 - 835 FILES for TLL PIT are missing from QBS and not found in EXXACT</t>
  </si>
  <si>
    <t>INC0246328 - 835 FILES FOR AMH PIT (Meritain) are missing from QBS and not found in EXXACT</t>
  </si>
  <si>
    <t>INC0245246 - Quest Missing 999's</t>
  </si>
  <si>
    <t>External Client Tokenization</t>
  </si>
  <si>
    <t>Email checking</t>
  </si>
  <si>
    <t>INC0245876 - MISSING SLI BCBS OF ARKANSAS 835 FILE</t>
  </si>
  <si>
    <t>MISSING 835 FOR CIGNA</t>
  </si>
  <si>
    <t>INC0238114 - MISSING NSC UMR 835 FILES</t>
  </si>
  <si>
    <t>INC0237589 - Missing files for Alabama Medicare with some zero pay files.</t>
  </si>
  <si>
    <t>INC0238231 - missing Railroad Medicare files</t>
  </si>
  <si>
    <t>Offshore Holiday</t>
  </si>
  <si>
    <t>holiday</t>
  </si>
  <si>
    <t>offshore holiday-good friday</t>
  </si>
  <si>
    <t>goood friday holiday</t>
  </si>
  <si>
    <t>Assisted Abhinav with MSR</t>
  </si>
  <si>
    <t>INC0242428</t>
  </si>
  <si>
    <t>INC0246727 - missing 835 files for Wellcare of South Carolina AB1TAM</t>
  </si>
  <si>
    <t>SCTASK0034877</t>
  </si>
  <si>
    <t>INC0246684 - missing 835 files for palmetto/rr medicare</t>
  </si>
  <si>
    <t>manuals</t>
  </si>
  <si>
    <t>Daily status calls</t>
  </si>
  <si>
    <t>Production Monitoring - XmitFailed</t>
  </si>
  <si>
    <t>INC0242085 - Missing Medicaid of IL 835 files</t>
  </si>
  <si>
    <t>Email checking and report monitoring</t>
  </si>
  <si>
    <t>INC034041 - Billing File Sheppard</t>
  </si>
  <si>
    <t>study</t>
  </si>
  <si>
    <t>status call</t>
  </si>
  <si>
    <t>Test Plan</t>
  </si>
  <si>
    <t>Mail Checking</t>
  </si>
  <si>
    <t>INC0248098</t>
  </si>
  <si>
    <t>kanban report and internal meeting</t>
  </si>
  <si>
    <t>INC0250792: INC0249777: Coordinated for and resolved issue reported by Wellness team in QA</t>
  </si>
  <si>
    <t>INC0249777: Coordinated for and resolved issue faced by Careevolution in QA</t>
  </si>
  <si>
    <t>INC0246681:  coordinated and followed-up for  new partner named HealthOne to connect with H2.0 in QA</t>
  </si>
  <si>
    <t>INC0242955:  coordinated and followed-up for  new partner named Scripps to connect with H2.0 in QA</t>
  </si>
  <si>
    <t>INC0249858: coordinated and followed-up for  new partner named SiriusIQ to connect with H2.0 in QA</t>
  </si>
  <si>
    <t>Reviewed H20 DoU for updates</t>
  </si>
  <si>
    <t>Internal meetings on IM action items</t>
  </si>
  <si>
    <t>INC0219971 - MISSING 835 FOR CIGNA</t>
  </si>
  <si>
    <t>INC0234107 - missing files for Cigna</t>
  </si>
  <si>
    <t>INC0235624 - Missing 835 Files for WHC Caloptima</t>
  </si>
  <si>
    <t>INC0237154 - missing 835 file for Sentara deposit dates 03/11 and 03/15</t>
  </si>
  <si>
    <t>INC0245151</t>
  </si>
  <si>
    <t>INC0182163, INC0238253</t>
  </si>
  <si>
    <t>SL525</t>
  </si>
  <si>
    <t>Internal meeting</t>
  </si>
  <si>
    <t>Batch Range expansion</t>
  </si>
  <si>
    <t>Meeting</t>
  </si>
  <si>
    <t>INC0245498</t>
  </si>
  <si>
    <t>TCS internal</t>
  </si>
  <si>
    <t>INC0249429</t>
  </si>
  <si>
    <t>SCTASK0036524</t>
  </si>
  <si>
    <t>Sev 9 Master Tracker</t>
  </si>
  <si>
    <t>Kanban</t>
  </si>
  <si>
    <t>Call</t>
  </si>
  <si>
    <t>INC0245280</t>
  </si>
  <si>
    <t>SCTASK0036434</t>
  </si>
  <si>
    <t>KT</t>
  </si>
  <si>
    <t>training</t>
  </si>
  <si>
    <t>INC0246373</t>
  </si>
  <si>
    <t>INC035166</t>
  </si>
  <si>
    <t>Daily Call</t>
  </si>
  <si>
    <t>Fresco</t>
  </si>
  <si>
    <t>SCTASK0036356</t>
  </si>
  <si>
    <t>INC035717</t>
  </si>
  <si>
    <t>INC0238151</t>
  </si>
  <si>
    <t>SELF LEARNING</t>
  </si>
  <si>
    <t>INC0241500</t>
  </si>
  <si>
    <t>SCTASK0036349</t>
  </si>
  <si>
    <t>INC0237851</t>
  </si>
  <si>
    <t>INC025709</t>
  </si>
  <si>
    <t>INC0245332</t>
  </si>
  <si>
    <t>Production Monitoring</t>
  </si>
  <si>
    <t>kanban update</t>
  </si>
  <si>
    <t>INC0199139</t>
  </si>
  <si>
    <t>Service Tracker</t>
  </si>
  <si>
    <t>INC035360</t>
  </si>
  <si>
    <t>Daily Manual Process</t>
  </si>
  <si>
    <t>mail monitoring update</t>
  </si>
  <si>
    <t>Production Error analyze</t>
  </si>
  <si>
    <t>INC0243851</t>
  </si>
  <si>
    <t>Billing Leads Meeting</t>
  </si>
  <si>
    <t>SCTASK0031048</t>
  </si>
  <si>
    <t>batch range expansion</t>
  </si>
  <si>
    <t>msr,master tracker,wsr</t>
  </si>
  <si>
    <t>Oracle 19 C testing</t>
  </si>
  <si>
    <t>DAT</t>
  </si>
  <si>
    <t>INC0246604</t>
  </si>
  <si>
    <t>non im activity</t>
  </si>
  <si>
    <t>kanban</t>
  </si>
  <si>
    <t>INC0246107</t>
  </si>
  <si>
    <t>INC0245110</t>
  </si>
  <si>
    <t>INC0246260</t>
  </si>
  <si>
    <t>SCTASK0036540</t>
  </si>
  <si>
    <t>master tracker</t>
  </si>
  <si>
    <t>production monitoring workbook</t>
  </si>
  <si>
    <t>non imaged summary report</t>
  </si>
  <si>
    <t>Mail Monitoring</t>
  </si>
  <si>
    <t>HOLIDAY</t>
  </si>
  <si>
    <t>QA Issue Analysis</t>
  </si>
  <si>
    <t>tcs holiday</t>
  </si>
  <si>
    <t>Offshore holiday</t>
  </si>
  <si>
    <t>good friday holiday</t>
  </si>
  <si>
    <t>INC0244829</t>
  </si>
  <si>
    <t>INC0245365</t>
  </si>
  <si>
    <t>INC0247004</t>
  </si>
  <si>
    <t>SCTASK0035793</t>
  </si>
  <si>
    <t>SL532</t>
  </si>
  <si>
    <t>INC0242255</t>
  </si>
  <si>
    <t>oracle 19 C db testing</t>
  </si>
  <si>
    <t>expansion batch range</t>
  </si>
  <si>
    <t>MAL to quest</t>
  </si>
  <si>
    <t>SCTASK0036993</t>
  </si>
  <si>
    <t>SL524(mini_pep)</t>
  </si>
  <si>
    <t>MANUAL TASK</t>
  </si>
  <si>
    <t>Kanban update</t>
  </si>
  <si>
    <t>Avinash KT</t>
  </si>
  <si>
    <t>wsr</t>
  </si>
  <si>
    <t>internal training</t>
  </si>
  <si>
    <t>accession mismatch</t>
  </si>
  <si>
    <t>INC0249437</t>
  </si>
  <si>
    <t>INC0237878</t>
  </si>
  <si>
    <t>Worked on utility</t>
  </si>
  <si>
    <t>INC0249920</t>
  </si>
  <si>
    <t>worked on utility SCTASK0036525</t>
  </si>
  <si>
    <t>INC0248190</t>
  </si>
  <si>
    <t>Production monitoring</t>
  </si>
  <si>
    <t>Batch Range Expansion</t>
  </si>
  <si>
    <t>INC0249257</t>
  </si>
  <si>
    <t>SIT for INC035133</t>
  </si>
  <si>
    <t>internal meeting</t>
  </si>
  <si>
    <t>ims</t>
  </si>
  <si>
    <t>Kanban and meeting</t>
  </si>
  <si>
    <t>INC0233605</t>
  </si>
  <si>
    <t>INC0244762</t>
  </si>
  <si>
    <t>SCTASK0036525</t>
  </si>
  <si>
    <t>INC031755</t>
  </si>
  <si>
    <t>Kanban &amp; Billing Leads Meeting</t>
  </si>
  <si>
    <t>INC0238125</t>
  </si>
  <si>
    <t>INC035585</t>
  </si>
  <si>
    <t>Office</t>
  </si>
  <si>
    <t>Outside Office</t>
  </si>
  <si>
    <t>Team</t>
  </si>
  <si>
    <t>Resource Name</t>
  </si>
  <si>
    <t>Offshore</t>
  </si>
  <si>
    <t>Centricity</t>
  </si>
  <si>
    <t>BFE</t>
  </si>
  <si>
    <t>Onshore</t>
  </si>
  <si>
    <t>EFFORT FILLED</t>
  </si>
  <si>
    <t>LOCATION</t>
  </si>
  <si>
    <t>DEFAULTER/FILLED</t>
  </si>
  <si>
    <t>Location</t>
  </si>
  <si>
    <t>Tokenization Effort â€“ Part 2 â€“ PSC PR, CO, PA Batch Processes</t>
  </si>
  <si>
    <t>DSR+ 1pm call</t>
  </si>
  <si>
    <t>Ravi Singh</t>
  </si>
  <si>
    <t>No RL Efforts Filled</t>
  </si>
  <si>
    <t>DEFAULTER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</si>
</sst>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0"/>
      <name val="Arial"/>
      <charset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2" fillId="0" borderId="1" xfId="0" applyFont="1" applyFill="1" applyBorder="1" applyAlignment="1" applyProtection="1">
      <alignment horizontal="center" vertical="top"/>
    </xf>
    <xf numFmtId="164" fontId="1" fillId="0" borderId="0" xfId="0" applyNumberFormat="1" applyFont="1" applyFill="1" applyBorder="1" applyAlignment="1" applyProtection="1"/>
    <xf numFmtId="0" fontId="1" fillId="0" borderId="0" xfId="0" applyFont="1" applyFill="1" applyBorder="1" applyAlignment="1" applyProtection="1"/>
    <xf numFmtId="0" fontId="2" fillId="2" borderId="0" xfId="0" applyFont="1" applyFill="1"/>
    <xf numFmtId="164" fontId="1" fillId="0" borderId="1" xfId="0" applyNumberFormat="1" applyFont="1" applyFill="1" applyBorder="1" applyAlignment="1" applyProtection="1"/>
    <xf numFmtId="0" fontId="1" fillId="0" borderId="1" xfId="0" applyFont="1" applyFill="1" applyBorder="1" applyAlignment="1" applyProtection="1"/>
    <xf numFmtId="0" fontId="1" fillId="0" borderId="1" xfId="0" applyFon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5</xdr:row>
          <xdr:rowOff>38100</xdr:rowOff>
        </xdr:from>
        <xdr:to>
          <xdr:col>5</xdr:col>
          <xdr:colOff>352425</xdr:colOff>
          <xdr:row>7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RESOURCE LOADING DEFAULTER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workbookViewId="0"/>
  </sheetViews>
  <sheetFormatPr defaultRowHeight="12.75" x14ac:dyDescent="0.2"/>
  <cols>
    <col min="1" max="1" width="9.85546875" customWidth="1"/>
    <col min="2" max="2" width="8.7109375" bestFit="1" customWidth="1"/>
  </cols>
  <sheetData>
    <row r="1" spans="1:2" ht="15" x14ac:dyDescent="0.25">
      <c r="A1" s="1"/>
      <c r="B1" s="2"/>
    </row>
    <row r="2" spans="1:2" ht="15" x14ac:dyDescent="0.25">
      <c r="A2" s="1"/>
      <c r="B2" s="2"/>
    </row>
    <row r="3" spans="1:2" ht="15" x14ac:dyDescent="0.25">
      <c r="A3" s="1"/>
      <c r="B3" s="1"/>
    </row>
    <row r="4" spans="1:2" ht="15" x14ac:dyDescent="0.25">
      <c r="A4" s="1"/>
      <c r="B4" s="1"/>
    </row>
    <row r="5" spans="1:2" ht="15" x14ac:dyDescent="0.25">
      <c r="A5" s="1"/>
      <c r="B5" s="1"/>
    </row>
    <row r="6" spans="1:2" ht="15" x14ac:dyDescent="0.25">
      <c r="A6" s="1"/>
      <c r="B6" s="1"/>
    </row>
  </sheetData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FAULTER">
                <anchor moveWithCells="1">
                  <from>
                    <xdr:col>1</xdr:col>
                    <xdr:colOff>428625</xdr:colOff>
                    <xdr:row>5</xdr:row>
                    <xdr:rowOff>38100</xdr:rowOff>
                  </from>
                  <to>
                    <xdr:col>5</xdr:col>
                    <xdr:colOff>352425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1"/>
  <sheetViews>
    <sheetView workbookViewId="0"/>
  </sheetViews>
  <sheetFormatPr defaultRowHeight="15" x14ac:dyDescent="0.25"/>
  <cols>
    <col min="1" max="1" width="9.5703125" style="1" bestFit="1" customWidth="1"/>
    <col min="2" max="2" width="20.7109375" style="1" bestFit="1" customWidth="1"/>
    <col min="3" max="3" width="8.42578125" style="1" bestFit="1" customWidth="1"/>
    <col min="4" max="16384" width="9.140625" style="1"/>
  </cols>
  <sheetData>
    <row r="1" spans="1:3" x14ac:dyDescent="0.25">
      <c r="A1" s="6" t="s">
        <v>390</v>
      </c>
      <c r="B1" s="6" t="s">
        <v>391</v>
      </c>
      <c r="C1" s="6" t="s">
        <v>399</v>
      </c>
    </row>
    <row r="2" spans="1:3" x14ac:dyDescent="0.25">
      <c r="A2" s="1" t="s">
        <v>59</v>
      </c>
      <c r="B2" s="1" t="s">
        <v>8</v>
      </c>
      <c r="C2" s="1" t="s">
        <v>392</v>
      </c>
    </row>
    <row r="3" spans="1:3" x14ac:dyDescent="0.25">
      <c r="A3" s="1" t="s">
        <v>59</v>
      </c>
      <c r="B3" s="1" t="s">
        <v>9</v>
      </c>
      <c r="C3" s="1" t="s">
        <v>392</v>
      </c>
    </row>
    <row r="4" spans="1:3" x14ac:dyDescent="0.25">
      <c r="A4" s="1" t="s">
        <v>393</v>
      </c>
      <c r="B4" s="1" t="s">
        <v>10</v>
      </c>
      <c r="C4" s="1" t="s">
        <v>392</v>
      </c>
    </row>
    <row r="5" spans="1:3" x14ac:dyDescent="0.25">
      <c r="A5" s="1" t="s">
        <v>394</v>
      </c>
      <c r="B5" s="1" t="s">
        <v>11</v>
      </c>
      <c r="C5" s="1" t="s">
        <v>395</v>
      </c>
    </row>
    <row r="6" spans="1:3" x14ac:dyDescent="0.25">
      <c r="B6" s="1" t="s">
        <v>12</v>
      </c>
      <c r="C6" s="1" t="s">
        <v>392</v>
      </c>
    </row>
    <row r="7" spans="1:3" x14ac:dyDescent="0.25">
      <c r="B7" s="1" t="s">
        <v>13</v>
      </c>
      <c r="C7" s="1" t="s">
        <v>395</v>
      </c>
    </row>
    <row r="8" spans="1:3" x14ac:dyDescent="0.25">
      <c r="B8" s="1" t="s">
        <v>14</v>
      </c>
      <c r="C8" s="1" t="s">
        <v>392</v>
      </c>
    </row>
    <row r="9" spans="1:3" x14ac:dyDescent="0.25">
      <c r="B9" s="1" t="s">
        <v>15</v>
      </c>
      <c r="C9" s="1" t="s">
        <v>392</v>
      </c>
    </row>
    <row r="10" spans="1:3" x14ac:dyDescent="0.25">
      <c r="B10" s="1" t="s">
        <v>16</v>
      </c>
      <c r="C10" s="1" t="s">
        <v>395</v>
      </c>
    </row>
    <row r="11" spans="1:3" x14ac:dyDescent="0.25">
      <c r="B11" s="1" t="s">
        <v>17</v>
      </c>
      <c r="C11" s="1" t="s">
        <v>392</v>
      </c>
    </row>
    <row r="12" spans="1:3" x14ac:dyDescent="0.25">
      <c r="B12" s="1" t="s">
        <v>18</v>
      </c>
      <c r="C12" s="1" t="s">
        <v>392</v>
      </c>
    </row>
    <row r="13" spans="1:3" x14ac:dyDescent="0.25">
      <c r="B13" s="1" t="s">
        <v>19</v>
      </c>
      <c r="C13" s="1" t="s">
        <v>392</v>
      </c>
    </row>
    <row r="14" spans="1:3" x14ac:dyDescent="0.25">
      <c r="B14" s="1" t="s">
        <v>20</v>
      </c>
      <c r="C14" s="1" t="s">
        <v>392</v>
      </c>
    </row>
    <row r="15" spans="1:3" x14ac:dyDescent="0.25">
      <c r="B15" s="1" t="s">
        <v>21</v>
      </c>
      <c r="C15" s="1" t="s">
        <v>392</v>
      </c>
    </row>
    <row r="16" spans="1:3" x14ac:dyDescent="0.25">
      <c r="B16" s="1" t="s">
        <v>22</v>
      </c>
      <c r="C16" s="1" t="s">
        <v>392</v>
      </c>
    </row>
    <row r="17" spans="2:3" x14ac:dyDescent="0.25">
      <c r="B17" s="1" t="s">
        <v>23</v>
      </c>
      <c r="C17" s="1" t="s">
        <v>392</v>
      </c>
    </row>
    <row r="18" spans="2:3" x14ac:dyDescent="0.25">
      <c r="B18" s="1" t="s">
        <v>24</v>
      </c>
      <c r="C18" s="1" t="s">
        <v>392</v>
      </c>
    </row>
    <row r="19" spans="2:3" x14ac:dyDescent="0.25">
      <c r="B19" s="1" t="s">
        <v>25</v>
      </c>
      <c r="C19" s="1" t="s">
        <v>395</v>
      </c>
    </row>
    <row r="20" spans="2:3" x14ac:dyDescent="0.25">
      <c r="B20" s="1" t="s">
        <v>26</v>
      </c>
      <c r="C20" s="1" t="s">
        <v>392</v>
      </c>
    </row>
    <row r="21" spans="2:3" x14ac:dyDescent="0.25">
      <c r="B21" s="1" t="s">
        <v>27</v>
      </c>
      <c r="C21" s="1" t="s">
        <v>392</v>
      </c>
    </row>
    <row r="22" spans="2:3" x14ac:dyDescent="0.25">
      <c r="B22" s="1" t="s">
        <v>28</v>
      </c>
      <c r="C22" s="1" t="s">
        <v>392</v>
      </c>
    </row>
    <row r="23" spans="2:3" x14ac:dyDescent="0.25">
      <c r="B23" s="1" t="s">
        <v>29</v>
      </c>
      <c r="C23" s="1" t="s">
        <v>392</v>
      </c>
    </row>
    <row r="24" spans="2:3" x14ac:dyDescent="0.25">
      <c r="B24" s="1" t="s">
        <v>30</v>
      </c>
      <c r="C24" s="1" t="s">
        <v>392</v>
      </c>
    </row>
    <row r="25" spans="2:3" x14ac:dyDescent="0.25">
      <c r="B25" s="1" t="s">
        <v>31</v>
      </c>
      <c r="C25" s="1" t="s">
        <v>392</v>
      </c>
    </row>
    <row r="26" spans="2:3" x14ac:dyDescent="0.25">
      <c r="B26" s="1" t="s">
        <v>32</v>
      </c>
      <c r="C26" s="1" t="s">
        <v>392</v>
      </c>
    </row>
    <row r="27" spans="2:3" x14ac:dyDescent="0.25">
      <c r="B27" s="1" t="s">
        <v>33</v>
      </c>
      <c r="C27" s="1" t="s">
        <v>392</v>
      </c>
    </row>
    <row r="28" spans="2:3" x14ac:dyDescent="0.25">
      <c r="B28" s="1" t="s">
        <v>34</v>
      </c>
      <c r="C28" s="1" t="s">
        <v>395</v>
      </c>
    </row>
    <row r="29" spans="2:3" x14ac:dyDescent="0.25">
      <c r="B29" s="1" t="s">
        <v>35</v>
      </c>
      <c r="C29" s="1" t="s">
        <v>392</v>
      </c>
    </row>
    <row r="30" spans="2:3" x14ac:dyDescent="0.25">
      <c r="B30" s="1" t="s">
        <v>36</v>
      </c>
      <c r="C30" s="1" t="s">
        <v>392</v>
      </c>
    </row>
    <row r="31" spans="2:3" x14ac:dyDescent="0.25">
      <c r="B31" s="1" t="s">
        <v>37</v>
      </c>
      <c r="C31" s="1" t="s">
        <v>392</v>
      </c>
    </row>
    <row r="32" spans="2:3" x14ac:dyDescent="0.25">
      <c r="B32" s="1" t="s">
        <v>38</v>
      </c>
      <c r="C32" s="1" t="s">
        <v>392</v>
      </c>
    </row>
    <row r="33" spans="2:3" x14ac:dyDescent="0.25">
      <c r="B33" s="1" t="s">
        <v>39</v>
      </c>
      <c r="C33" s="1" t="s">
        <v>392</v>
      </c>
    </row>
    <row r="34" spans="2:3" x14ac:dyDescent="0.25">
      <c r="B34" s="1" t="s">
        <v>40</v>
      </c>
      <c r="C34" s="1" t="s">
        <v>392</v>
      </c>
    </row>
    <row r="35" spans="2:3" x14ac:dyDescent="0.25">
      <c r="B35" s="1" t="s">
        <v>41</v>
      </c>
      <c r="C35" s="1" t="s">
        <v>392</v>
      </c>
    </row>
    <row r="36" spans="2:3" x14ac:dyDescent="0.25">
      <c r="B36" s="1" t="s">
        <v>42</v>
      </c>
      <c r="C36" s="1" t="s">
        <v>395</v>
      </c>
    </row>
    <row r="37" spans="2:3" x14ac:dyDescent="0.25">
      <c r="B37" s="1" t="s">
        <v>43</v>
      </c>
      <c r="C37" s="1" t="s">
        <v>392</v>
      </c>
    </row>
    <row r="38" spans="2:3" x14ac:dyDescent="0.25">
      <c r="B38" s="1" t="s">
        <v>44</v>
      </c>
      <c r="C38" s="1" t="s">
        <v>392</v>
      </c>
    </row>
    <row r="39" spans="2:3" x14ac:dyDescent="0.25">
      <c r="B39" s="1" t="s">
        <v>45</v>
      </c>
      <c r="C39" s="1" t="s">
        <v>392</v>
      </c>
    </row>
    <row r="40" spans="2:3" x14ac:dyDescent="0.25">
      <c r="B40" s="1" t="s">
        <v>46</v>
      </c>
      <c r="C40" s="1" t="s">
        <v>392</v>
      </c>
    </row>
    <row r="41" spans="2:3" x14ac:dyDescent="0.25">
      <c r="B41" s="1" t="s">
        <v>47</v>
      </c>
      <c r="C41" s="1" t="s">
        <v>392</v>
      </c>
    </row>
    <row r="42" spans="2:3" x14ac:dyDescent="0.25">
      <c r="B42" s="1" t="s">
        <v>48</v>
      </c>
      <c r="C42" s="1" t="s">
        <v>392</v>
      </c>
    </row>
    <row r="43" spans="2:3" x14ac:dyDescent="0.25">
      <c r="B43" s="1" t="s">
        <v>49</v>
      </c>
      <c r="C43" s="1" t="s">
        <v>395</v>
      </c>
    </row>
    <row r="44" spans="2:3" x14ac:dyDescent="0.25">
      <c r="B44" s="1" t="s">
        <v>50</v>
      </c>
      <c r="C44" s="1" t="s">
        <v>392</v>
      </c>
    </row>
    <row r="45" spans="2:3" x14ac:dyDescent="0.25">
      <c r="B45" s="1" t="s">
        <v>51</v>
      </c>
      <c r="C45" s="1" t="s">
        <v>392</v>
      </c>
    </row>
    <row r="46" spans="2:3" x14ac:dyDescent="0.25">
      <c r="B46" s="1" t="s">
        <v>52</v>
      </c>
      <c r="C46" s="1" t="s">
        <v>392</v>
      </c>
    </row>
    <row r="47" spans="2:3" x14ac:dyDescent="0.25">
      <c r="B47" s="1" t="s">
        <v>53</v>
      </c>
      <c r="C47" s="1" t="s">
        <v>392</v>
      </c>
    </row>
    <row r="48" spans="2:3" x14ac:dyDescent="0.25">
      <c r="B48" s="1" t="s">
        <v>54</v>
      </c>
      <c r="C48" s="1" t="s">
        <v>392</v>
      </c>
    </row>
    <row r="49" spans="1:3" x14ac:dyDescent="0.25">
      <c r="B49" s="1" t="s">
        <v>55</v>
      </c>
      <c r="C49" s="1" t="s">
        <v>392</v>
      </c>
    </row>
    <row r="50" spans="1:3" x14ac:dyDescent="0.25">
      <c r="B50" s="1" t="s">
        <v>56</v>
      </c>
      <c r="C50" s="1" t="s">
        <v>392</v>
      </c>
    </row>
    <row r="51" spans="1:3" x14ac:dyDescent="0.25">
      <c r="A51" s="1" t="s">
        <v>394</v>
      </c>
      <c r="B51" s="1" t="s">
        <v>402</v>
      </c>
      <c r="C51" s="1" t="s">
        <v>392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H414"/>
  <sheetViews>
    <sheetView workbookViewId="0">
      <selection sqref="A1:XFD1048576"/>
    </sheetView>
  </sheetViews>
  <sheetFormatPr defaultRowHeight="15" x14ac:dyDescent="0.25"/>
  <cols>
    <col min="1" max="1" width="10.42578125" style="1" bestFit="1" customWidth="1"/>
    <col min="2" max="6" width="9.140625" style="1"/>
    <col min="7" max="7" width="9.42578125" style="1" bestFit="1" customWidth="1"/>
    <col min="8" max="16384" width="9.140625" style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4">
        <v>44287</v>
      </c>
      <c r="B2" s="5" t="s">
        <v>8</v>
      </c>
      <c r="C2" s="5" t="s">
        <v>57</v>
      </c>
      <c r="D2" s="5" t="s">
        <v>71</v>
      </c>
      <c r="E2" s="5" t="s">
        <v>76</v>
      </c>
      <c r="F2" s="5" t="s">
        <v>92</v>
      </c>
      <c r="G2" s="5">
        <v>0.5</v>
      </c>
      <c r="H2" s="5" t="s">
        <v>388</v>
      </c>
    </row>
    <row r="3" spans="1:8" x14ac:dyDescent="0.25">
      <c r="A3" s="4">
        <v>44287</v>
      </c>
      <c r="B3" s="5" t="s">
        <v>8</v>
      </c>
      <c r="C3" s="5" t="s">
        <v>57</v>
      </c>
      <c r="D3" s="5" t="s">
        <v>71</v>
      </c>
      <c r="E3" s="5" t="s">
        <v>76</v>
      </c>
      <c r="F3" s="5" t="s">
        <v>92</v>
      </c>
      <c r="G3" s="5">
        <v>0.5</v>
      </c>
      <c r="H3" s="5" t="s">
        <v>388</v>
      </c>
    </row>
    <row r="4" spans="1:8" x14ac:dyDescent="0.25">
      <c r="A4" s="4">
        <v>44287</v>
      </c>
      <c r="B4" s="5" t="s">
        <v>9</v>
      </c>
      <c r="C4" s="5" t="s">
        <v>57</v>
      </c>
      <c r="D4" s="5" t="s">
        <v>71</v>
      </c>
      <c r="E4" s="5" t="s">
        <v>77</v>
      </c>
      <c r="F4" s="5" t="s">
        <v>93</v>
      </c>
      <c r="G4" s="5">
        <v>1</v>
      </c>
      <c r="H4" s="5" t="s">
        <v>388</v>
      </c>
    </row>
    <row r="5" spans="1:8" x14ac:dyDescent="0.25">
      <c r="A5" s="4">
        <v>44287</v>
      </c>
      <c r="B5" s="5" t="s">
        <v>8</v>
      </c>
      <c r="C5" s="5" t="s">
        <v>57</v>
      </c>
      <c r="D5" s="5" t="s">
        <v>71</v>
      </c>
      <c r="E5" s="5" t="s">
        <v>57</v>
      </c>
      <c r="F5" s="5" t="s">
        <v>94</v>
      </c>
      <c r="G5" s="5">
        <v>1</v>
      </c>
      <c r="H5" s="5" t="s">
        <v>388</v>
      </c>
    </row>
    <row r="6" spans="1:8" x14ac:dyDescent="0.25">
      <c r="A6" s="4">
        <v>44287</v>
      </c>
      <c r="B6" s="5" t="s">
        <v>8</v>
      </c>
      <c r="C6" s="5" t="s">
        <v>57</v>
      </c>
      <c r="D6" s="5" t="s">
        <v>71</v>
      </c>
      <c r="E6" s="5" t="s">
        <v>57</v>
      </c>
      <c r="F6" s="5" t="s">
        <v>95</v>
      </c>
      <c r="G6" s="5">
        <v>2</v>
      </c>
      <c r="H6" s="5" t="s">
        <v>388</v>
      </c>
    </row>
    <row r="7" spans="1:8" x14ac:dyDescent="0.25">
      <c r="A7" s="4">
        <v>44287</v>
      </c>
      <c r="B7" s="5" t="s">
        <v>8</v>
      </c>
      <c r="C7" s="5" t="s">
        <v>57</v>
      </c>
      <c r="D7" s="5" t="s">
        <v>71</v>
      </c>
      <c r="E7" s="5" t="s">
        <v>57</v>
      </c>
      <c r="F7" s="5" t="s">
        <v>96</v>
      </c>
      <c r="G7" s="5">
        <v>1</v>
      </c>
      <c r="H7" s="5" t="s">
        <v>388</v>
      </c>
    </row>
    <row r="8" spans="1:8" x14ac:dyDescent="0.25">
      <c r="A8" s="4">
        <v>44287</v>
      </c>
      <c r="B8" s="5" t="s">
        <v>8</v>
      </c>
      <c r="C8" s="5" t="s">
        <v>57</v>
      </c>
      <c r="D8" s="5" t="s">
        <v>71</v>
      </c>
      <c r="E8" s="5" t="s">
        <v>77</v>
      </c>
      <c r="F8" s="5" t="s">
        <v>93</v>
      </c>
      <c r="G8" s="5">
        <v>0.5</v>
      </c>
      <c r="H8" s="5" t="s">
        <v>388</v>
      </c>
    </row>
    <row r="9" spans="1:8" x14ac:dyDescent="0.25">
      <c r="A9" s="4">
        <v>44287</v>
      </c>
      <c r="B9" s="5" t="s">
        <v>8</v>
      </c>
      <c r="C9" s="5" t="s">
        <v>57</v>
      </c>
      <c r="D9" s="5" t="s">
        <v>71</v>
      </c>
      <c r="E9" s="5" t="s">
        <v>77</v>
      </c>
      <c r="F9" s="5" t="s">
        <v>97</v>
      </c>
      <c r="G9" s="5">
        <v>0.5</v>
      </c>
      <c r="H9" s="5" t="s">
        <v>388</v>
      </c>
    </row>
    <row r="10" spans="1:8" x14ac:dyDescent="0.25">
      <c r="A10" s="4">
        <v>44287</v>
      </c>
      <c r="B10" s="5" t="s">
        <v>8</v>
      </c>
      <c r="C10" s="5" t="s">
        <v>57</v>
      </c>
      <c r="D10" s="5" t="s">
        <v>71</v>
      </c>
      <c r="E10" s="5" t="s">
        <v>57</v>
      </c>
      <c r="F10" s="5" t="s">
        <v>98</v>
      </c>
      <c r="G10" s="5">
        <v>1</v>
      </c>
      <c r="H10" s="5" t="s">
        <v>388</v>
      </c>
    </row>
    <row r="11" spans="1:8" x14ac:dyDescent="0.25">
      <c r="A11" s="4">
        <v>44287</v>
      </c>
      <c r="B11" s="5" t="s">
        <v>8</v>
      </c>
      <c r="C11" s="5" t="s">
        <v>57</v>
      </c>
      <c r="D11" s="5" t="s">
        <v>71</v>
      </c>
      <c r="E11" s="5" t="s">
        <v>76</v>
      </c>
      <c r="F11" s="5" t="s">
        <v>99</v>
      </c>
      <c r="G11" s="5">
        <v>1</v>
      </c>
      <c r="H11" s="5" t="s">
        <v>388</v>
      </c>
    </row>
    <row r="12" spans="1:8" x14ac:dyDescent="0.25">
      <c r="A12" s="4">
        <v>44287</v>
      </c>
      <c r="B12" s="5" t="s">
        <v>10</v>
      </c>
      <c r="C12" s="5" t="s">
        <v>57</v>
      </c>
      <c r="D12" s="5" t="s">
        <v>71</v>
      </c>
      <c r="E12" s="5" t="s">
        <v>77</v>
      </c>
      <c r="F12" s="5" t="s">
        <v>100</v>
      </c>
      <c r="G12" s="5">
        <v>0.5</v>
      </c>
      <c r="H12" s="5" t="s">
        <v>388</v>
      </c>
    </row>
    <row r="13" spans="1:8" x14ac:dyDescent="0.25">
      <c r="A13" s="4">
        <v>44287</v>
      </c>
      <c r="B13" s="5" t="s">
        <v>9</v>
      </c>
      <c r="C13" s="5" t="s">
        <v>57</v>
      </c>
      <c r="D13" s="5" t="s">
        <v>71</v>
      </c>
      <c r="E13" s="5" t="s">
        <v>57</v>
      </c>
      <c r="F13" s="5" t="s">
        <v>101</v>
      </c>
      <c r="G13" s="5">
        <v>2</v>
      </c>
      <c r="H13" s="5" t="s">
        <v>388</v>
      </c>
    </row>
    <row r="14" spans="1:8" x14ac:dyDescent="0.25">
      <c r="A14" s="4">
        <v>44287</v>
      </c>
      <c r="B14" s="5" t="s">
        <v>9</v>
      </c>
      <c r="C14" s="5" t="s">
        <v>57</v>
      </c>
      <c r="D14" s="5" t="s">
        <v>71</v>
      </c>
      <c r="E14" s="5" t="s">
        <v>57</v>
      </c>
      <c r="F14" s="5" t="s">
        <v>102</v>
      </c>
      <c r="G14" s="5">
        <v>1</v>
      </c>
      <c r="H14" s="5" t="s">
        <v>388</v>
      </c>
    </row>
    <row r="15" spans="1:8" x14ac:dyDescent="0.25">
      <c r="A15" s="4">
        <v>44287</v>
      </c>
      <c r="B15" s="5" t="s">
        <v>9</v>
      </c>
      <c r="C15" s="5" t="s">
        <v>57</v>
      </c>
      <c r="D15" s="5" t="s">
        <v>71</v>
      </c>
      <c r="E15" s="5" t="s">
        <v>57</v>
      </c>
      <c r="F15" s="5" t="s">
        <v>400</v>
      </c>
      <c r="G15" s="5">
        <v>3</v>
      </c>
      <c r="H15" s="5" t="s">
        <v>388</v>
      </c>
    </row>
    <row r="16" spans="1:8" x14ac:dyDescent="0.25">
      <c r="A16" s="4">
        <v>44287</v>
      </c>
      <c r="B16" s="5" t="s">
        <v>9</v>
      </c>
      <c r="C16" s="5" t="s">
        <v>57</v>
      </c>
      <c r="D16" s="5" t="s">
        <v>72</v>
      </c>
      <c r="E16" s="5" t="s">
        <v>78</v>
      </c>
      <c r="F16" s="5" t="s">
        <v>103</v>
      </c>
      <c r="G16" s="5">
        <v>0.5</v>
      </c>
      <c r="H16" s="5" t="s">
        <v>388</v>
      </c>
    </row>
    <row r="17" spans="1:8" x14ac:dyDescent="0.25">
      <c r="A17" s="4">
        <v>44287</v>
      </c>
      <c r="B17" s="5" t="s">
        <v>9</v>
      </c>
      <c r="C17" s="5" t="s">
        <v>57</v>
      </c>
      <c r="D17" s="5" t="s">
        <v>73</v>
      </c>
      <c r="E17" s="5" t="s">
        <v>76</v>
      </c>
      <c r="F17" s="5" t="s">
        <v>104</v>
      </c>
      <c r="G17" s="5">
        <v>0.5</v>
      </c>
      <c r="H17" s="5" t="s">
        <v>388</v>
      </c>
    </row>
    <row r="18" spans="1:8" x14ac:dyDescent="0.25">
      <c r="A18" s="4">
        <v>44287</v>
      </c>
      <c r="B18" s="5" t="s">
        <v>9</v>
      </c>
      <c r="C18" s="5" t="s">
        <v>57</v>
      </c>
      <c r="D18" s="5" t="s">
        <v>71</v>
      </c>
      <c r="E18" s="5" t="s">
        <v>77</v>
      </c>
      <c r="F18" s="5" t="s">
        <v>105</v>
      </c>
      <c r="G18" s="5">
        <v>0.5</v>
      </c>
      <c r="H18" s="5" t="s">
        <v>388</v>
      </c>
    </row>
    <row r="19" spans="1:8" x14ac:dyDescent="0.25">
      <c r="A19" s="4">
        <v>44287</v>
      </c>
      <c r="B19" s="5" t="s">
        <v>9</v>
      </c>
      <c r="C19" s="5" t="s">
        <v>57</v>
      </c>
      <c r="D19" s="5" t="s">
        <v>71</v>
      </c>
      <c r="E19" s="5" t="s">
        <v>77</v>
      </c>
      <c r="F19" s="5" t="s">
        <v>106</v>
      </c>
      <c r="G19" s="5">
        <v>0.5</v>
      </c>
      <c r="H19" s="5" t="s">
        <v>388</v>
      </c>
    </row>
    <row r="20" spans="1:8" x14ac:dyDescent="0.25">
      <c r="A20" s="4">
        <v>44287</v>
      </c>
      <c r="B20" s="5" t="s">
        <v>8</v>
      </c>
      <c r="C20" s="5" t="s">
        <v>57</v>
      </c>
      <c r="D20" s="5" t="s">
        <v>73</v>
      </c>
      <c r="E20" s="5" t="s">
        <v>76</v>
      </c>
      <c r="F20" s="5" t="s">
        <v>107</v>
      </c>
      <c r="G20" s="5">
        <v>0.5</v>
      </c>
      <c r="H20" s="5" t="s">
        <v>388</v>
      </c>
    </row>
    <row r="21" spans="1:8" x14ac:dyDescent="0.25">
      <c r="A21" s="4">
        <v>44287</v>
      </c>
      <c r="B21" s="5" t="s">
        <v>11</v>
      </c>
      <c r="C21" s="5" t="s">
        <v>57</v>
      </c>
      <c r="D21" s="5" t="s">
        <v>73</v>
      </c>
      <c r="E21" s="5" t="s">
        <v>76</v>
      </c>
      <c r="F21" s="5" t="s">
        <v>108</v>
      </c>
      <c r="G21" s="5">
        <v>0.5</v>
      </c>
      <c r="H21" s="5" t="s">
        <v>388</v>
      </c>
    </row>
    <row r="22" spans="1:8" x14ac:dyDescent="0.25">
      <c r="A22" s="4">
        <v>44287</v>
      </c>
      <c r="B22" s="5" t="s">
        <v>12</v>
      </c>
      <c r="C22" s="5" t="s">
        <v>58</v>
      </c>
      <c r="D22" s="5" t="s">
        <v>73</v>
      </c>
      <c r="E22" s="5" t="s">
        <v>79</v>
      </c>
      <c r="F22" s="5" t="s">
        <v>109</v>
      </c>
      <c r="G22" s="5">
        <v>2</v>
      </c>
      <c r="H22" s="5" t="s">
        <v>388</v>
      </c>
    </row>
    <row r="23" spans="1:8" x14ac:dyDescent="0.25">
      <c r="A23" s="4">
        <v>44287</v>
      </c>
      <c r="B23" s="5" t="s">
        <v>11</v>
      </c>
      <c r="C23" s="5" t="s">
        <v>57</v>
      </c>
      <c r="D23" s="5" t="s">
        <v>71</v>
      </c>
      <c r="E23" s="5" t="s">
        <v>77</v>
      </c>
      <c r="F23" s="5" t="s">
        <v>110</v>
      </c>
      <c r="G23" s="5">
        <v>0.5</v>
      </c>
      <c r="H23" s="5" t="s">
        <v>388</v>
      </c>
    </row>
    <row r="24" spans="1:8" x14ac:dyDescent="0.25">
      <c r="A24" s="4">
        <v>44287</v>
      </c>
      <c r="B24" s="5" t="s">
        <v>11</v>
      </c>
      <c r="C24" s="5" t="s">
        <v>57</v>
      </c>
      <c r="D24" s="5" t="s">
        <v>72</v>
      </c>
      <c r="E24" s="5" t="s">
        <v>80</v>
      </c>
      <c r="F24" s="5" t="s">
        <v>111</v>
      </c>
      <c r="G24" s="5">
        <v>2</v>
      </c>
      <c r="H24" s="5" t="s">
        <v>388</v>
      </c>
    </row>
    <row r="25" spans="1:8" x14ac:dyDescent="0.25">
      <c r="A25" s="4">
        <v>44287</v>
      </c>
      <c r="B25" s="5" t="s">
        <v>11</v>
      </c>
      <c r="C25" s="5" t="s">
        <v>57</v>
      </c>
      <c r="D25" s="5" t="s">
        <v>72</v>
      </c>
      <c r="E25" s="5" t="s">
        <v>81</v>
      </c>
      <c r="F25" s="5" t="s">
        <v>112</v>
      </c>
      <c r="G25" s="5">
        <v>1</v>
      </c>
      <c r="H25" s="5" t="s">
        <v>388</v>
      </c>
    </row>
    <row r="26" spans="1:8" x14ac:dyDescent="0.25">
      <c r="A26" s="4">
        <v>44287</v>
      </c>
      <c r="B26" s="5" t="s">
        <v>8</v>
      </c>
      <c r="C26" s="5" t="s">
        <v>57</v>
      </c>
      <c r="D26" s="5" t="s">
        <v>71</v>
      </c>
      <c r="E26" s="5" t="s">
        <v>57</v>
      </c>
      <c r="F26" s="5" t="s">
        <v>113</v>
      </c>
      <c r="G26" s="5">
        <v>1</v>
      </c>
      <c r="H26" s="5" t="s">
        <v>388</v>
      </c>
    </row>
    <row r="27" spans="1:8" x14ac:dyDescent="0.25">
      <c r="A27" s="4">
        <v>44287</v>
      </c>
      <c r="B27" s="5" t="s">
        <v>12</v>
      </c>
      <c r="C27" s="5" t="s">
        <v>58</v>
      </c>
      <c r="D27" s="5" t="s">
        <v>73</v>
      </c>
      <c r="E27" s="5" t="s">
        <v>79</v>
      </c>
      <c r="F27" s="5" t="s">
        <v>114</v>
      </c>
      <c r="G27" s="5">
        <v>1.5</v>
      </c>
      <c r="H27" s="5" t="s">
        <v>388</v>
      </c>
    </row>
    <row r="28" spans="1:8" x14ac:dyDescent="0.25">
      <c r="A28" s="4">
        <v>44287</v>
      </c>
      <c r="B28" s="5" t="s">
        <v>12</v>
      </c>
      <c r="C28" s="5" t="s">
        <v>58</v>
      </c>
      <c r="D28" s="5" t="s">
        <v>73</v>
      </c>
      <c r="E28" s="5" t="s">
        <v>79</v>
      </c>
      <c r="F28" s="5" t="s">
        <v>115</v>
      </c>
      <c r="G28" s="5">
        <v>2.5</v>
      </c>
      <c r="H28" s="5" t="s">
        <v>388</v>
      </c>
    </row>
    <row r="29" spans="1:8" x14ac:dyDescent="0.25">
      <c r="A29" s="4">
        <v>44287</v>
      </c>
      <c r="B29" s="5" t="s">
        <v>11</v>
      </c>
      <c r="C29" s="5" t="s">
        <v>57</v>
      </c>
      <c r="D29" s="5" t="s">
        <v>72</v>
      </c>
      <c r="E29" s="5" t="s">
        <v>78</v>
      </c>
      <c r="F29" s="5" t="s">
        <v>116</v>
      </c>
      <c r="G29" s="5">
        <v>0.5</v>
      </c>
      <c r="H29" s="5" t="s">
        <v>388</v>
      </c>
    </row>
    <row r="30" spans="1:8" x14ac:dyDescent="0.25">
      <c r="A30" s="4">
        <v>44287</v>
      </c>
      <c r="B30" s="5" t="s">
        <v>11</v>
      </c>
      <c r="C30" s="5" t="s">
        <v>57</v>
      </c>
      <c r="D30" s="5" t="s">
        <v>71</v>
      </c>
      <c r="E30" s="5" t="s">
        <v>76</v>
      </c>
      <c r="F30" s="5" t="s">
        <v>117</v>
      </c>
      <c r="G30" s="5">
        <v>0.5</v>
      </c>
      <c r="H30" s="5" t="s">
        <v>388</v>
      </c>
    </row>
    <row r="31" spans="1:8" x14ac:dyDescent="0.25">
      <c r="A31" s="4">
        <v>44287</v>
      </c>
      <c r="B31" s="5" t="s">
        <v>10</v>
      </c>
      <c r="C31" s="5" t="s">
        <v>57</v>
      </c>
      <c r="D31" s="5" t="s">
        <v>71</v>
      </c>
      <c r="E31" s="5" t="s">
        <v>57</v>
      </c>
      <c r="F31" s="5" t="s">
        <v>118</v>
      </c>
      <c r="G31" s="5">
        <v>2</v>
      </c>
      <c r="H31" s="5" t="s">
        <v>388</v>
      </c>
    </row>
    <row r="32" spans="1:8" x14ac:dyDescent="0.25">
      <c r="A32" s="4">
        <v>44287</v>
      </c>
      <c r="B32" s="5" t="s">
        <v>10</v>
      </c>
      <c r="C32" s="5" t="s">
        <v>57</v>
      </c>
      <c r="D32" s="5" t="s">
        <v>71</v>
      </c>
      <c r="E32" s="5" t="s">
        <v>57</v>
      </c>
      <c r="F32" s="5" t="s">
        <v>119</v>
      </c>
      <c r="G32" s="5">
        <v>5</v>
      </c>
      <c r="H32" s="5" t="s">
        <v>388</v>
      </c>
    </row>
    <row r="33" spans="1:8" x14ac:dyDescent="0.25">
      <c r="A33" s="4">
        <v>44287</v>
      </c>
      <c r="B33" s="5" t="s">
        <v>10</v>
      </c>
      <c r="C33" s="5" t="s">
        <v>57</v>
      </c>
      <c r="D33" s="5" t="s">
        <v>71</v>
      </c>
      <c r="E33" s="5" t="s">
        <v>77</v>
      </c>
      <c r="F33" s="5" t="s">
        <v>120</v>
      </c>
      <c r="G33" s="5">
        <v>0.5</v>
      </c>
      <c r="H33" s="5" t="s">
        <v>388</v>
      </c>
    </row>
    <row r="34" spans="1:8" x14ac:dyDescent="0.25">
      <c r="A34" s="4">
        <v>44287</v>
      </c>
      <c r="B34" s="5" t="s">
        <v>10</v>
      </c>
      <c r="C34" s="5" t="s">
        <v>57</v>
      </c>
      <c r="D34" s="5" t="s">
        <v>72</v>
      </c>
      <c r="E34" s="5" t="s">
        <v>78</v>
      </c>
      <c r="F34" s="5" t="s">
        <v>103</v>
      </c>
      <c r="G34" s="5">
        <v>0.5</v>
      </c>
      <c r="H34" s="5" t="s">
        <v>388</v>
      </c>
    </row>
    <row r="35" spans="1:8" x14ac:dyDescent="0.25">
      <c r="A35" s="4">
        <v>44287</v>
      </c>
      <c r="B35" s="5" t="s">
        <v>10</v>
      </c>
      <c r="C35" s="5" t="s">
        <v>57</v>
      </c>
      <c r="D35" s="5" t="s">
        <v>73</v>
      </c>
      <c r="E35" s="5" t="s">
        <v>76</v>
      </c>
      <c r="F35" s="5" t="s">
        <v>121</v>
      </c>
      <c r="G35" s="5">
        <v>0.5</v>
      </c>
      <c r="H35" s="5" t="s">
        <v>388</v>
      </c>
    </row>
    <row r="36" spans="1:8" x14ac:dyDescent="0.25">
      <c r="A36" s="4">
        <v>44287</v>
      </c>
      <c r="B36" s="5" t="s">
        <v>12</v>
      </c>
      <c r="C36" s="5" t="s">
        <v>58</v>
      </c>
      <c r="D36" s="5" t="s">
        <v>74</v>
      </c>
      <c r="E36" s="5" t="s">
        <v>82</v>
      </c>
      <c r="F36" s="5" t="s">
        <v>122</v>
      </c>
      <c r="G36" s="5">
        <v>3</v>
      </c>
      <c r="H36" s="5" t="s">
        <v>388</v>
      </c>
    </row>
    <row r="37" spans="1:8" x14ac:dyDescent="0.25">
      <c r="A37" s="4">
        <v>44288</v>
      </c>
      <c r="B37" s="5" t="s">
        <v>11</v>
      </c>
      <c r="C37" s="5" t="s">
        <v>57</v>
      </c>
      <c r="D37" s="5" t="s">
        <v>72</v>
      </c>
      <c r="E37" s="5" t="s">
        <v>83</v>
      </c>
      <c r="F37" s="5" t="s">
        <v>123</v>
      </c>
      <c r="G37" s="5">
        <v>9</v>
      </c>
      <c r="H37" s="5" t="s">
        <v>388</v>
      </c>
    </row>
    <row r="38" spans="1:8" x14ac:dyDescent="0.25">
      <c r="A38" s="4">
        <v>44288</v>
      </c>
      <c r="B38" s="5" t="s">
        <v>12</v>
      </c>
      <c r="C38" s="5" t="s">
        <v>58</v>
      </c>
      <c r="D38" s="5" t="s">
        <v>73</v>
      </c>
      <c r="E38" s="5" t="s">
        <v>79</v>
      </c>
      <c r="F38" s="5" t="s">
        <v>124</v>
      </c>
      <c r="G38" s="5">
        <v>9</v>
      </c>
      <c r="H38" s="5" t="s">
        <v>388</v>
      </c>
    </row>
    <row r="39" spans="1:8" x14ac:dyDescent="0.25">
      <c r="A39" s="4">
        <v>44288</v>
      </c>
      <c r="B39" s="5" t="s">
        <v>10</v>
      </c>
      <c r="C39" s="5" t="s">
        <v>57</v>
      </c>
      <c r="D39" s="5" t="s">
        <v>72</v>
      </c>
      <c r="E39" s="5" t="s">
        <v>83</v>
      </c>
      <c r="F39" s="5" t="s">
        <v>125</v>
      </c>
      <c r="G39" s="5">
        <v>9</v>
      </c>
      <c r="H39" s="5" t="s">
        <v>388</v>
      </c>
    </row>
    <row r="40" spans="1:8" x14ac:dyDescent="0.25">
      <c r="A40" s="4">
        <v>44287</v>
      </c>
      <c r="B40" s="5" t="s">
        <v>13</v>
      </c>
      <c r="C40" s="5" t="s">
        <v>59</v>
      </c>
      <c r="D40" s="5" t="s">
        <v>71</v>
      </c>
      <c r="E40" s="5" t="s">
        <v>57</v>
      </c>
      <c r="F40" s="5" t="s">
        <v>126</v>
      </c>
      <c r="G40" s="5">
        <v>3</v>
      </c>
      <c r="H40" s="5" t="s">
        <v>388</v>
      </c>
    </row>
    <row r="41" spans="1:8" x14ac:dyDescent="0.25">
      <c r="A41" s="4">
        <v>44287</v>
      </c>
      <c r="B41" s="5" t="s">
        <v>13</v>
      </c>
      <c r="C41" s="5" t="s">
        <v>59</v>
      </c>
      <c r="D41" s="5" t="s">
        <v>71</v>
      </c>
      <c r="E41" s="5" t="s">
        <v>57</v>
      </c>
      <c r="F41" s="5" t="s">
        <v>126</v>
      </c>
      <c r="G41" s="5">
        <v>3</v>
      </c>
      <c r="H41" s="5" t="s">
        <v>388</v>
      </c>
    </row>
    <row r="42" spans="1:8" x14ac:dyDescent="0.25">
      <c r="A42" s="4">
        <v>44287</v>
      </c>
      <c r="B42" s="5" t="s">
        <v>14</v>
      </c>
      <c r="C42" s="5" t="s">
        <v>60</v>
      </c>
      <c r="D42" s="5" t="s">
        <v>74</v>
      </c>
      <c r="E42" s="5" t="s">
        <v>84</v>
      </c>
      <c r="F42" s="5" t="s">
        <v>127</v>
      </c>
      <c r="G42" s="5">
        <v>5</v>
      </c>
      <c r="H42" s="5" t="s">
        <v>388</v>
      </c>
    </row>
    <row r="43" spans="1:8" x14ac:dyDescent="0.25">
      <c r="A43" s="4">
        <v>44287</v>
      </c>
      <c r="B43" s="5" t="s">
        <v>15</v>
      </c>
      <c r="C43" s="5" t="s">
        <v>59</v>
      </c>
      <c r="D43" s="5" t="s">
        <v>75</v>
      </c>
      <c r="E43" s="5" t="s">
        <v>85</v>
      </c>
      <c r="F43" s="5" t="s">
        <v>128</v>
      </c>
      <c r="G43" s="5">
        <v>8</v>
      </c>
      <c r="H43" s="5" t="s">
        <v>388</v>
      </c>
    </row>
    <row r="44" spans="1:8" x14ac:dyDescent="0.25">
      <c r="A44" s="4">
        <v>44287</v>
      </c>
      <c r="B44" s="5" t="s">
        <v>16</v>
      </c>
      <c r="C44" s="5" t="s">
        <v>59</v>
      </c>
      <c r="D44" s="5" t="s">
        <v>71</v>
      </c>
      <c r="E44" s="5" t="s">
        <v>86</v>
      </c>
      <c r="F44" s="5" t="s">
        <v>129</v>
      </c>
      <c r="G44" s="5">
        <v>8</v>
      </c>
      <c r="H44" s="5" t="s">
        <v>388</v>
      </c>
    </row>
    <row r="45" spans="1:8" x14ac:dyDescent="0.25">
      <c r="A45" s="4">
        <v>44287</v>
      </c>
      <c r="B45" s="5" t="s">
        <v>16</v>
      </c>
      <c r="C45" s="5" t="s">
        <v>59</v>
      </c>
      <c r="D45" s="5" t="s">
        <v>73</v>
      </c>
      <c r="E45" s="5" t="s">
        <v>77</v>
      </c>
      <c r="F45" s="5" t="s">
        <v>401</v>
      </c>
      <c r="G45" s="5">
        <v>1</v>
      </c>
      <c r="H45" s="5" t="s">
        <v>388</v>
      </c>
    </row>
    <row r="46" spans="1:8" x14ac:dyDescent="0.25">
      <c r="A46" s="4">
        <v>44287</v>
      </c>
      <c r="B46" s="5" t="s">
        <v>17</v>
      </c>
      <c r="C46" s="5" t="s">
        <v>60</v>
      </c>
      <c r="D46" s="5" t="s">
        <v>74</v>
      </c>
      <c r="E46" s="5" t="s">
        <v>84</v>
      </c>
      <c r="F46" s="5" t="s">
        <v>130</v>
      </c>
      <c r="G46" s="5">
        <v>4</v>
      </c>
      <c r="H46" s="5" t="s">
        <v>388</v>
      </c>
    </row>
    <row r="47" spans="1:8" x14ac:dyDescent="0.25">
      <c r="A47" s="4">
        <v>44287</v>
      </c>
      <c r="B47" s="5" t="s">
        <v>17</v>
      </c>
      <c r="C47" s="5" t="s">
        <v>60</v>
      </c>
      <c r="D47" s="5" t="s">
        <v>74</v>
      </c>
      <c r="E47" s="5" t="s">
        <v>84</v>
      </c>
      <c r="F47" s="5" t="s">
        <v>130</v>
      </c>
      <c r="G47" s="5">
        <v>3</v>
      </c>
      <c r="H47" s="5" t="s">
        <v>388</v>
      </c>
    </row>
    <row r="48" spans="1:8" x14ac:dyDescent="0.25">
      <c r="A48" s="4">
        <v>44287</v>
      </c>
      <c r="B48" s="5" t="s">
        <v>17</v>
      </c>
      <c r="C48" s="5" t="s">
        <v>60</v>
      </c>
      <c r="D48" s="5" t="s">
        <v>74</v>
      </c>
      <c r="E48" s="5" t="s">
        <v>84</v>
      </c>
      <c r="F48" s="5" t="s">
        <v>131</v>
      </c>
      <c r="G48" s="5">
        <v>2</v>
      </c>
      <c r="H48" s="5" t="s">
        <v>388</v>
      </c>
    </row>
    <row r="49" spans="1:8" x14ac:dyDescent="0.25">
      <c r="A49" s="4">
        <v>44287</v>
      </c>
      <c r="B49" s="5" t="s">
        <v>18</v>
      </c>
      <c r="C49" s="5" t="s">
        <v>59</v>
      </c>
      <c r="D49" s="5" t="s">
        <v>75</v>
      </c>
      <c r="E49" s="5" t="s">
        <v>86</v>
      </c>
      <c r="F49" s="5" t="s">
        <v>132</v>
      </c>
      <c r="G49" s="5">
        <v>6</v>
      </c>
      <c r="H49" s="5" t="s">
        <v>388</v>
      </c>
    </row>
    <row r="50" spans="1:8" x14ac:dyDescent="0.25">
      <c r="A50" s="4">
        <v>44287</v>
      </c>
      <c r="B50" s="5" t="s">
        <v>13</v>
      </c>
      <c r="C50" s="5" t="s">
        <v>59</v>
      </c>
      <c r="D50" s="5" t="s">
        <v>73</v>
      </c>
      <c r="E50" s="5" t="s">
        <v>79</v>
      </c>
      <c r="F50" s="5" t="s">
        <v>133</v>
      </c>
      <c r="G50" s="5">
        <v>2</v>
      </c>
      <c r="H50" s="5" t="s">
        <v>388</v>
      </c>
    </row>
    <row r="51" spans="1:8" x14ac:dyDescent="0.25">
      <c r="A51" s="4">
        <v>44287</v>
      </c>
      <c r="B51" s="5" t="s">
        <v>18</v>
      </c>
      <c r="C51" s="5" t="s">
        <v>59</v>
      </c>
      <c r="D51" s="5" t="s">
        <v>73</v>
      </c>
      <c r="E51" s="5" t="s">
        <v>77</v>
      </c>
      <c r="F51" s="5" t="s">
        <v>134</v>
      </c>
      <c r="G51" s="5">
        <v>2</v>
      </c>
      <c r="H51" s="5" t="s">
        <v>388</v>
      </c>
    </row>
    <row r="52" spans="1:8" x14ac:dyDescent="0.25">
      <c r="A52" s="4">
        <v>44287</v>
      </c>
      <c r="B52" s="5" t="s">
        <v>13</v>
      </c>
      <c r="C52" s="5" t="s">
        <v>59</v>
      </c>
      <c r="D52" s="5" t="s">
        <v>71</v>
      </c>
      <c r="E52" s="5" t="s">
        <v>87</v>
      </c>
      <c r="F52" s="5" t="s">
        <v>126</v>
      </c>
      <c r="G52" s="5">
        <v>2</v>
      </c>
      <c r="H52" s="5" t="s">
        <v>388</v>
      </c>
    </row>
    <row r="53" spans="1:8" x14ac:dyDescent="0.25">
      <c r="A53" s="4">
        <v>44287</v>
      </c>
      <c r="B53" s="5" t="s">
        <v>13</v>
      </c>
      <c r="C53" s="5" t="s">
        <v>59</v>
      </c>
      <c r="D53" s="5" t="s">
        <v>73</v>
      </c>
      <c r="E53" s="5" t="s">
        <v>77</v>
      </c>
      <c r="F53" s="5" t="s">
        <v>135</v>
      </c>
      <c r="G53" s="5">
        <v>0.5</v>
      </c>
      <c r="H53" s="5" t="s">
        <v>388</v>
      </c>
    </row>
    <row r="54" spans="1:8" x14ac:dyDescent="0.25">
      <c r="A54" s="4">
        <v>44287</v>
      </c>
      <c r="B54" s="5" t="s">
        <v>13</v>
      </c>
      <c r="C54" s="5" t="s">
        <v>59</v>
      </c>
      <c r="D54" s="5" t="s">
        <v>73</v>
      </c>
      <c r="E54" s="5" t="s">
        <v>76</v>
      </c>
      <c r="F54" s="5" t="s">
        <v>136</v>
      </c>
      <c r="G54" s="5">
        <v>0.5</v>
      </c>
      <c r="H54" s="5" t="s">
        <v>388</v>
      </c>
    </row>
    <row r="55" spans="1:8" x14ac:dyDescent="0.25">
      <c r="A55" s="4">
        <v>44287</v>
      </c>
      <c r="B55" s="5" t="s">
        <v>19</v>
      </c>
      <c r="C55" s="5" t="s">
        <v>59</v>
      </c>
      <c r="D55" s="5" t="s">
        <v>73</v>
      </c>
      <c r="E55" s="5" t="s">
        <v>76</v>
      </c>
      <c r="F55" s="5" t="s">
        <v>137</v>
      </c>
      <c r="G55" s="5">
        <v>1</v>
      </c>
      <c r="H55" s="5" t="s">
        <v>388</v>
      </c>
    </row>
    <row r="56" spans="1:8" x14ac:dyDescent="0.25">
      <c r="A56" s="4">
        <v>44287</v>
      </c>
      <c r="B56" s="5" t="s">
        <v>20</v>
      </c>
      <c r="C56" s="5" t="s">
        <v>59</v>
      </c>
      <c r="D56" s="5" t="s">
        <v>73</v>
      </c>
      <c r="E56" s="5" t="s">
        <v>77</v>
      </c>
      <c r="F56" s="5" t="s">
        <v>138</v>
      </c>
      <c r="G56" s="5">
        <v>0.5</v>
      </c>
      <c r="H56" s="5" t="s">
        <v>388</v>
      </c>
    </row>
    <row r="57" spans="1:8" x14ac:dyDescent="0.25">
      <c r="A57" s="4">
        <v>44287</v>
      </c>
      <c r="B57" s="5" t="s">
        <v>20</v>
      </c>
      <c r="C57" s="5" t="s">
        <v>59</v>
      </c>
      <c r="D57" s="5" t="s">
        <v>74</v>
      </c>
      <c r="E57" s="5" t="s">
        <v>82</v>
      </c>
      <c r="F57" s="5" t="s">
        <v>139</v>
      </c>
      <c r="G57" s="5">
        <v>4</v>
      </c>
      <c r="H57" s="5" t="s">
        <v>388</v>
      </c>
    </row>
    <row r="58" spans="1:8" x14ac:dyDescent="0.25">
      <c r="A58" s="4">
        <v>44287</v>
      </c>
      <c r="B58" s="5" t="s">
        <v>14</v>
      </c>
      <c r="C58" s="5" t="s">
        <v>60</v>
      </c>
      <c r="D58" s="5" t="s">
        <v>74</v>
      </c>
      <c r="E58" s="5" t="s">
        <v>84</v>
      </c>
      <c r="F58" s="5" t="s">
        <v>130</v>
      </c>
      <c r="G58" s="5">
        <v>4</v>
      </c>
      <c r="H58" s="5" t="s">
        <v>388</v>
      </c>
    </row>
    <row r="59" spans="1:8" x14ac:dyDescent="0.25">
      <c r="A59" s="4">
        <v>44287</v>
      </c>
      <c r="B59" s="5" t="s">
        <v>13</v>
      </c>
      <c r="C59" s="5" t="s">
        <v>59</v>
      </c>
      <c r="D59" s="5" t="s">
        <v>73</v>
      </c>
      <c r="E59" s="5" t="s">
        <v>79</v>
      </c>
      <c r="F59" s="5" t="s">
        <v>140</v>
      </c>
      <c r="G59" s="5">
        <v>1</v>
      </c>
      <c r="H59" s="5" t="s">
        <v>388</v>
      </c>
    </row>
    <row r="60" spans="1:8" x14ac:dyDescent="0.25">
      <c r="A60" s="4">
        <v>44287</v>
      </c>
      <c r="B60" s="5" t="s">
        <v>21</v>
      </c>
      <c r="C60" s="5" t="s">
        <v>61</v>
      </c>
      <c r="D60" s="5" t="s">
        <v>73</v>
      </c>
      <c r="E60" s="5" t="s">
        <v>79</v>
      </c>
      <c r="F60" s="5" t="s">
        <v>141</v>
      </c>
      <c r="G60" s="5">
        <v>1</v>
      </c>
      <c r="H60" s="5" t="s">
        <v>388</v>
      </c>
    </row>
    <row r="61" spans="1:8" x14ac:dyDescent="0.25">
      <c r="A61" s="4">
        <v>44287</v>
      </c>
      <c r="B61" s="5" t="s">
        <v>19</v>
      </c>
      <c r="C61" s="5" t="s">
        <v>59</v>
      </c>
      <c r="D61" s="5" t="s">
        <v>71</v>
      </c>
      <c r="E61" s="5" t="s">
        <v>86</v>
      </c>
      <c r="F61" s="5" t="s">
        <v>142</v>
      </c>
      <c r="G61" s="5">
        <v>8</v>
      </c>
      <c r="H61" s="5" t="s">
        <v>388</v>
      </c>
    </row>
    <row r="62" spans="1:8" x14ac:dyDescent="0.25">
      <c r="A62" s="4">
        <v>44287</v>
      </c>
      <c r="B62" s="5" t="s">
        <v>22</v>
      </c>
      <c r="C62" s="5" t="s">
        <v>59</v>
      </c>
      <c r="D62" s="5" t="s">
        <v>74</v>
      </c>
      <c r="E62" s="5" t="s">
        <v>82</v>
      </c>
      <c r="F62" s="5" t="s">
        <v>143</v>
      </c>
      <c r="G62" s="5">
        <v>5</v>
      </c>
      <c r="H62" s="5" t="s">
        <v>388</v>
      </c>
    </row>
    <row r="63" spans="1:8" x14ac:dyDescent="0.25">
      <c r="A63" s="4">
        <v>44287</v>
      </c>
      <c r="B63" s="5" t="s">
        <v>23</v>
      </c>
      <c r="C63" s="5" t="s">
        <v>59</v>
      </c>
      <c r="D63" s="5" t="s">
        <v>73</v>
      </c>
      <c r="E63" s="5" t="s">
        <v>79</v>
      </c>
      <c r="F63" s="5" t="s">
        <v>144</v>
      </c>
      <c r="G63" s="5">
        <v>6</v>
      </c>
      <c r="H63" s="5" t="s">
        <v>388</v>
      </c>
    </row>
    <row r="64" spans="1:8" x14ac:dyDescent="0.25">
      <c r="A64" s="4">
        <v>44287</v>
      </c>
      <c r="B64" s="5" t="s">
        <v>24</v>
      </c>
      <c r="C64" s="5" t="s">
        <v>61</v>
      </c>
      <c r="D64" s="5" t="s">
        <v>74</v>
      </c>
      <c r="E64" s="5" t="s">
        <v>84</v>
      </c>
      <c r="F64" s="5" t="s">
        <v>145</v>
      </c>
      <c r="G64" s="5">
        <v>2</v>
      </c>
      <c r="H64" s="5" t="s">
        <v>388</v>
      </c>
    </row>
    <row r="65" spans="1:8" x14ac:dyDescent="0.25">
      <c r="A65" s="4">
        <v>44287</v>
      </c>
      <c r="B65" s="5" t="s">
        <v>24</v>
      </c>
      <c r="C65" s="5" t="s">
        <v>61</v>
      </c>
      <c r="D65" s="5" t="s">
        <v>73</v>
      </c>
      <c r="E65" s="5" t="s">
        <v>87</v>
      </c>
      <c r="F65" s="5" t="s">
        <v>146</v>
      </c>
      <c r="G65" s="5">
        <v>7</v>
      </c>
      <c r="H65" s="5" t="s">
        <v>388</v>
      </c>
    </row>
    <row r="66" spans="1:8" x14ac:dyDescent="0.25">
      <c r="A66" s="4">
        <v>44287</v>
      </c>
      <c r="B66" s="5" t="s">
        <v>22</v>
      </c>
      <c r="C66" s="5" t="s">
        <v>59</v>
      </c>
      <c r="D66" s="5" t="s">
        <v>73</v>
      </c>
      <c r="E66" s="5" t="s">
        <v>76</v>
      </c>
      <c r="F66" s="5" t="s">
        <v>147</v>
      </c>
      <c r="G66" s="5">
        <v>1</v>
      </c>
      <c r="H66" s="5" t="s">
        <v>388</v>
      </c>
    </row>
    <row r="67" spans="1:8" x14ac:dyDescent="0.25">
      <c r="A67" s="4">
        <v>44287</v>
      </c>
      <c r="B67" s="5" t="s">
        <v>22</v>
      </c>
      <c r="C67" s="5" t="s">
        <v>59</v>
      </c>
      <c r="D67" s="5" t="s">
        <v>74</v>
      </c>
      <c r="E67" s="5" t="s">
        <v>82</v>
      </c>
      <c r="F67" s="5" t="s">
        <v>148</v>
      </c>
      <c r="G67" s="5">
        <v>2</v>
      </c>
      <c r="H67" s="5" t="s">
        <v>388</v>
      </c>
    </row>
    <row r="68" spans="1:8" x14ac:dyDescent="0.25">
      <c r="A68" s="4">
        <v>44287</v>
      </c>
      <c r="B68" s="5" t="s">
        <v>15</v>
      </c>
      <c r="C68" s="5" t="s">
        <v>59</v>
      </c>
      <c r="D68" s="5" t="s">
        <v>73</v>
      </c>
      <c r="E68" s="5" t="s">
        <v>79</v>
      </c>
      <c r="F68" s="5" t="s">
        <v>149</v>
      </c>
      <c r="G68" s="5">
        <v>1</v>
      </c>
      <c r="H68" s="5" t="s">
        <v>388</v>
      </c>
    </row>
    <row r="69" spans="1:8" x14ac:dyDescent="0.25">
      <c r="A69" s="4">
        <v>44287</v>
      </c>
      <c r="B69" s="5" t="s">
        <v>21</v>
      </c>
      <c r="C69" s="5" t="s">
        <v>61</v>
      </c>
      <c r="D69" s="5" t="s">
        <v>75</v>
      </c>
      <c r="E69" s="5" t="s">
        <v>85</v>
      </c>
      <c r="F69" s="5" t="s">
        <v>150</v>
      </c>
      <c r="G69" s="5">
        <v>3</v>
      </c>
      <c r="H69" s="5" t="s">
        <v>388</v>
      </c>
    </row>
    <row r="70" spans="1:8" x14ac:dyDescent="0.25">
      <c r="A70" s="4">
        <v>44287</v>
      </c>
      <c r="B70" s="5" t="s">
        <v>20</v>
      </c>
      <c r="C70" s="5" t="s">
        <v>59</v>
      </c>
      <c r="D70" s="5" t="s">
        <v>71</v>
      </c>
      <c r="E70" s="5" t="s">
        <v>86</v>
      </c>
      <c r="F70" s="5" t="s">
        <v>151</v>
      </c>
      <c r="G70" s="5">
        <v>4</v>
      </c>
      <c r="H70" s="5" t="s">
        <v>388</v>
      </c>
    </row>
    <row r="71" spans="1:8" x14ac:dyDescent="0.25">
      <c r="A71" s="4">
        <v>44287</v>
      </c>
      <c r="B71" s="5" t="s">
        <v>21</v>
      </c>
      <c r="C71" s="5" t="s">
        <v>61</v>
      </c>
      <c r="D71" s="5" t="s">
        <v>75</v>
      </c>
      <c r="E71" s="5" t="s">
        <v>57</v>
      </c>
      <c r="F71" s="5" t="s">
        <v>150</v>
      </c>
      <c r="G71" s="5">
        <v>2.5</v>
      </c>
      <c r="H71" s="5" t="s">
        <v>388</v>
      </c>
    </row>
    <row r="72" spans="1:8" x14ac:dyDescent="0.25">
      <c r="A72" s="4">
        <v>44287</v>
      </c>
      <c r="B72" s="5" t="s">
        <v>21</v>
      </c>
      <c r="C72" s="5" t="s">
        <v>61</v>
      </c>
      <c r="D72" s="5" t="s">
        <v>71</v>
      </c>
      <c r="E72" s="5" t="s">
        <v>77</v>
      </c>
      <c r="F72" s="5" t="s">
        <v>152</v>
      </c>
      <c r="G72" s="5">
        <v>1</v>
      </c>
      <c r="H72" s="5" t="s">
        <v>388</v>
      </c>
    </row>
    <row r="73" spans="1:8" x14ac:dyDescent="0.25">
      <c r="A73" s="4">
        <v>44287</v>
      </c>
      <c r="B73" s="5" t="s">
        <v>21</v>
      </c>
      <c r="C73" s="5" t="s">
        <v>61</v>
      </c>
      <c r="D73" s="5" t="s">
        <v>73</v>
      </c>
      <c r="E73" s="5" t="s">
        <v>79</v>
      </c>
      <c r="F73" s="5" t="s">
        <v>153</v>
      </c>
      <c r="G73" s="5">
        <v>1.5</v>
      </c>
      <c r="H73" s="5" t="s">
        <v>388</v>
      </c>
    </row>
    <row r="74" spans="1:8" x14ac:dyDescent="0.25">
      <c r="A74" s="4">
        <v>44287</v>
      </c>
      <c r="B74" s="5" t="s">
        <v>23</v>
      </c>
      <c r="C74" s="5" t="s">
        <v>59</v>
      </c>
      <c r="D74" s="5" t="s">
        <v>74</v>
      </c>
      <c r="E74" s="5" t="s">
        <v>84</v>
      </c>
      <c r="F74" s="5" t="s">
        <v>154</v>
      </c>
      <c r="G74" s="5">
        <v>3</v>
      </c>
      <c r="H74" s="5" t="s">
        <v>388</v>
      </c>
    </row>
    <row r="75" spans="1:8" x14ac:dyDescent="0.25">
      <c r="A75" s="4">
        <v>44287</v>
      </c>
      <c r="B75" s="5" t="s">
        <v>25</v>
      </c>
      <c r="C75" s="5" t="s">
        <v>60</v>
      </c>
      <c r="D75" s="5" t="s">
        <v>73</v>
      </c>
      <c r="E75" s="5" t="s">
        <v>79</v>
      </c>
      <c r="F75" s="5" t="s">
        <v>155</v>
      </c>
      <c r="G75" s="5">
        <v>8</v>
      </c>
      <c r="H75" s="5" t="s">
        <v>388</v>
      </c>
    </row>
    <row r="76" spans="1:8" x14ac:dyDescent="0.25">
      <c r="A76" s="4">
        <v>44287</v>
      </c>
      <c r="B76" s="5" t="s">
        <v>25</v>
      </c>
      <c r="C76" s="5" t="s">
        <v>60</v>
      </c>
      <c r="D76" s="5" t="s">
        <v>74</v>
      </c>
      <c r="E76" s="5" t="s">
        <v>84</v>
      </c>
      <c r="F76" s="5" t="s">
        <v>156</v>
      </c>
      <c r="G76" s="5">
        <v>1</v>
      </c>
      <c r="H76" s="5" t="s">
        <v>388</v>
      </c>
    </row>
    <row r="77" spans="1:8" x14ac:dyDescent="0.25">
      <c r="A77" s="4">
        <v>44287</v>
      </c>
      <c r="B77" s="5" t="s">
        <v>18</v>
      </c>
      <c r="C77" s="5" t="s">
        <v>59</v>
      </c>
      <c r="D77" s="5" t="s">
        <v>73</v>
      </c>
      <c r="E77" s="5" t="s">
        <v>77</v>
      </c>
      <c r="F77" s="5" t="s">
        <v>157</v>
      </c>
      <c r="G77" s="5">
        <v>1</v>
      </c>
      <c r="H77" s="5" t="s">
        <v>388</v>
      </c>
    </row>
    <row r="78" spans="1:8" x14ac:dyDescent="0.25">
      <c r="A78" s="4">
        <v>44287</v>
      </c>
      <c r="B78" s="5" t="s">
        <v>22</v>
      </c>
      <c r="C78" s="5" t="s">
        <v>59</v>
      </c>
      <c r="D78" s="5" t="s">
        <v>72</v>
      </c>
      <c r="E78" s="5" t="s">
        <v>81</v>
      </c>
      <c r="F78" s="5" t="s">
        <v>158</v>
      </c>
      <c r="G78" s="5">
        <v>1</v>
      </c>
      <c r="H78" s="5" t="s">
        <v>388</v>
      </c>
    </row>
    <row r="79" spans="1:8" x14ac:dyDescent="0.25">
      <c r="A79" s="4">
        <v>44287</v>
      </c>
      <c r="B79" s="5" t="s">
        <v>26</v>
      </c>
      <c r="C79" s="5" t="s">
        <v>59</v>
      </c>
      <c r="D79" s="5" t="s">
        <v>74</v>
      </c>
      <c r="E79" s="5" t="s">
        <v>84</v>
      </c>
      <c r="F79" s="5" t="s">
        <v>159</v>
      </c>
      <c r="G79" s="5">
        <v>0.5</v>
      </c>
      <c r="H79" s="5" t="s">
        <v>388</v>
      </c>
    </row>
    <row r="80" spans="1:8" x14ac:dyDescent="0.25">
      <c r="A80" s="4">
        <v>44287</v>
      </c>
      <c r="B80" s="5" t="s">
        <v>27</v>
      </c>
      <c r="C80" s="5" t="s">
        <v>59</v>
      </c>
      <c r="D80" s="5" t="s">
        <v>73</v>
      </c>
      <c r="E80" s="5" t="s">
        <v>77</v>
      </c>
      <c r="F80" s="5" t="s">
        <v>160</v>
      </c>
      <c r="G80" s="5">
        <v>0.5</v>
      </c>
      <c r="H80" s="5" t="s">
        <v>388</v>
      </c>
    </row>
    <row r="81" spans="1:8" x14ac:dyDescent="0.25">
      <c r="A81" s="4">
        <v>44287</v>
      </c>
      <c r="B81" s="5" t="s">
        <v>27</v>
      </c>
      <c r="C81" s="5" t="s">
        <v>59</v>
      </c>
      <c r="D81" s="5" t="s">
        <v>73</v>
      </c>
      <c r="E81" s="5" t="s">
        <v>76</v>
      </c>
      <c r="F81" s="5" t="s">
        <v>160</v>
      </c>
      <c r="G81" s="5">
        <v>0.5</v>
      </c>
      <c r="H81" s="5" t="s">
        <v>388</v>
      </c>
    </row>
    <row r="82" spans="1:8" x14ac:dyDescent="0.25">
      <c r="A82" s="4">
        <v>44287</v>
      </c>
      <c r="B82" s="5" t="s">
        <v>28</v>
      </c>
      <c r="C82" s="5" t="s">
        <v>59</v>
      </c>
      <c r="D82" s="5" t="s">
        <v>75</v>
      </c>
      <c r="E82" s="5" t="s">
        <v>86</v>
      </c>
      <c r="F82" s="5" t="s">
        <v>161</v>
      </c>
      <c r="G82" s="5">
        <v>8.5</v>
      </c>
      <c r="H82" s="5" t="s">
        <v>388</v>
      </c>
    </row>
    <row r="83" spans="1:8" x14ac:dyDescent="0.25">
      <c r="A83" s="4">
        <v>44287</v>
      </c>
      <c r="B83" s="5" t="s">
        <v>26</v>
      </c>
      <c r="C83" s="5" t="s">
        <v>59</v>
      </c>
      <c r="D83" s="5" t="s">
        <v>74</v>
      </c>
      <c r="E83" s="5" t="s">
        <v>82</v>
      </c>
      <c r="F83" s="5" t="s">
        <v>162</v>
      </c>
      <c r="G83" s="5">
        <v>1</v>
      </c>
      <c r="H83" s="5" t="s">
        <v>388</v>
      </c>
    </row>
    <row r="84" spans="1:8" x14ac:dyDescent="0.25">
      <c r="A84" s="4">
        <v>44287</v>
      </c>
      <c r="B84" s="5" t="s">
        <v>28</v>
      </c>
      <c r="C84" s="5" t="s">
        <v>59</v>
      </c>
      <c r="D84" s="5" t="s">
        <v>73</v>
      </c>
      <c r="E84" s="5" t="s">
        <v>76</v>
      </c>
      <c r="F84" s="5" t="s">
        <v>163</v>
      </c>
      <c r="G84" s="5">
        <v>0.5</v>
      </c>
      <c r="H84" s="5" t="s">
        <v>388</v>
      </c>
    </row>
    <row r="85" spans="1:8" x14ac:dyDescent="0.25">
      <c r="A85" s="4">
        <v>44287</v>
      </c>
      <c r="B85" s="5" t="s">
        <v>26</v>
      </c>
      <c r="C85" s="5" t="s">
        <v>59</v>
      </c>
      <c r="D85" s="5" t="s">
        <v>74</v>
      </c>
      <c r="E85" s="5" t="s">
        <v>82</v>
      </c>
      <c r="F85" s="5" t="s">
        <v>164</v>
      </c>
      <c r="G85" s="5">
        <v>1</v>
      </c>
      <c r="H85" s="5" t="s">
        <v>388</v>
      </c>
    </row>
    <row r="86" spans="1:8" x14ac:dyDescent="0.25">
      <c r="A86" s="4">
        <v>44287</v>
      </c>
      <c r="B86" s="5" t="s">
        <v>26</v>
      </c>
      <c r="C86" s="5" t="s">
        <v>59</v>
      </c>
      <c r="D86" s="5" t="s">
        <v>74</v>
      </c>
      <c r="E86" s="5" t="s">
        <v>82</v>
      </c>
      <c r="F86" s="5" t="s">
        <v>165</v>
      </c>
      <c r="G86" s="5">
        <v>2</v>
      </c>
      <c r="H86" s="5" t="s">
        <v>388</v>
      </c>
    </row>
    <row r="87" spans="1:8" x14ac:dyDescent="0.25">
      <c r="A87" s="4">
        <v>44287</v>
      </c>
      <c r="B87" s="5" t="s">
        <v>26</v>
      </c>
      <c r="C87" s="5" t="s">
        <v>59</v>
      </c>
      <c r="D87" s="5" t="s">
        <v>74</v>
      </c>
      <c r="E87" s="5" t="s">
        <v>82</v>
      </c>
      <c r="F87" s="5" t="s">
        <v>166</v>
      </c>
      <c r="G87" s="5">
        <v>1</v>
      </c>
      <c r="H87" s="5" t="s">
        <v>388</v>
      </c>
    </row>
    <row r="88" spans="1:8" x14ac:dyDescent="0.25">
      <c r="A88" s="4">
        <v>44287</v>
      </c>
      <c r="B88" s="5" t="s">
        <v>29</v>
      </c>
      <c r="C88" s="5" t="s">
        <v>59</v>
      </c>
      <c r="D88" s="5" t="s">
        <v>75</v>
      </c>
      <c r="E88" s="5" t="s">
        <v>57</v>
      </c>
      <c r="F88" s="5" t="s">
        <v>167</v>
      </c>
      <c r="G88" s="5">
        <v>8</v>
      </c>
      <c r="H88" s="5" t="s">
        <v>388</v>
      </c>
    </row>
    <row r="89" spans="1:8" x14ac:dyDescent="0.25">
      <c r="A89" s="4">
        <v>44287</v>
      </c>
      <c r="B89" s="5" t="s">
        <v>20</v>
      </c>
      <c r="C89" s="5" t="s">
        <v>59</v>
      </c>
      <c r="D89" s="5" t="s">
        <v>73</v>
      </c>
      <c r="E89" s="5" t="s">
        <v>76</v>
      </c>
      <c r="F89" s="5" t="s">
        <v>168</v>
      </c>
      <c r="G89" s="5">
        <v>0.5</v>
      </c>
      <c r="H89" s="5" t="s">
        <v>388</v>
      </c>
    </row>
    <row r="90" spans="1:8" x14ac:dyDescent="0.25">
      <c r="A90" s="4">
        <v>44287</v>
      </c>
      <c r="B90" s="5" t="s">
        <v>26</v>
      </c>
      <c r="C90" s="5" t="s">
        <v>59</v>
      </c>
      <c r="D90" s="5" t="s">
        <v>73</v>
      </c>
      <c r="E90" s="5" t="s">
        <v>76</v>
      </c>
      <c r="F90" s="5" t="s">
        <v>169</v>
      </c>
      <c r="G90" s="5">
        <v>0.5</v>
      </c>
      <c r="H90" s="5" t="s">
        <v>388</v>
      </c>
    </row>
    <row r="91" spans="1:8" x14ac:dyDescent="0.25">
      <c r="A91" s="4">
        <v>44287</v>
      </c>
      <c r="B91" s="5" t="s">
        <v>27</v>
      </c>
      <c r="C91" s="5" t="s">
        <v>59</v>
      </c>
      <c r="D91" s="5" t="s">
        <v>71</v>
      </c>
      <c r="E91" s="5" t="s">
        <v>85</v>
      </c>
      <c r="F91" s="5" t="s">
        <v>170</v>
      </c>
      <c r="G91" s="5">
        <v>8</v>
      </c>
      <c r="H91" s="5" t="s">
        <v>388</v>
      </c>
    </row>
    <row r="92" spans="1:8" x14ac:dyDescent="0.25">
      <c r="A92" s="4">
        <v>44287</v>
      </c>
      <c r="B92" s="5" t="s">
        <v>29</v>
      </c>
      <c r="C92" s="5" t="s">
        <v>59</v>
      </c>
      <c r="D92" s="5" t="s">
        <v>73</v>
      </c>
      <c r="E92" s="5" t="s">
        <v>76</v>
      </c>
      <c r="F92" s="5" t="s">
        <v>171</v>
      </c>
      <c r="G92" s="5">
        <v>1</v>
      </c>
      <c r="H92" s="5" t="s">
        <v>388</v>
      </c>
    </row>
    <row r="93" spans="1:8" x14ac:dyDescent="0.25">
      <c r="A93" s="4">
        <v>44287</v>
      </c>
      <c r="B93" s="5" t="s">
        <v>30</v>
      </c>
      <c r="C93" s="5" t="s">
        <v>59</v>
      </c>
      <c r="D93" s="5" t="s">
        <v>73</v>
      </c>
      <c r="E93" s="5" t="s">
        <v>76</v>
      </c>
      <c r="F93" s="5" t="s">
        <v>76</v>
      </c>
      <c r="G93" s="5">
        <v>1</v>
      </c>
      <c r="H93" s="5" t="s">
        <v>388</v>
      </c>
    </row>
    <row r="94" spans="1:8" x14ac:dyDescent="0.25">
      <c r="A94" s="4">
        <v>44287</v>
      </c>
      <c r="B94" s="5" t="s">
        <v>30</v>
      </c>
      <c r="C94" s="5" t="s">
        <v>59</v>
      </c>
      <c r="D94" s="5" t="s">
        <v>71</v>
      </c>
      <c r="E94" s="5" t="s">
        <v>86</v>
      </c>
      <c r="F94" s="5" t="s">
        <v>172</v>
      </c>
      <c r="G94" s="5">
        <v>8</v>
      </c>
      <c r="H94" s="5" t="s">
        <v>388</v>
      </c>
    </row>
    <row r="95" spans="1:8" x14ac:dyDescent="0.25">
      <c r="A95" s="4">
        <v>44287</v>
      </c>
      <c r="B95" s="5" t="s">
        <v>31</v>
      </c>
      <c r="C95" s="5" t="s">
        <v>59</v>
      </c>
      <c r="D95" s="5" t="s">
        <v>71</v>
      </c>
      <c r="E95" s="5" t="s">
        <v>88</v>
      </c>
      <c r="F95" s="5" t="s">
        <v>173</v>
      </c>
      <c r="G95" s="5">
        <v>4.5</v>
      </c>
      <c r="H95" s="5" t="s">
        <v>388</v>
      </c>
    </row>
    <row r="96" spans="1:8" x14ac:dyDescent="0.25">
      <c r="A96" s="4">
        <v>44287</v>
      </c>
      <c r="B96" s="5" t="s">
        <v>31</v>
      </c>
      <c r="C96" s="5" t="s">
        <v>59</v>
      </c>
      <c r="D96" s="5" t="s">
        <v>71</v>
      </c>
      <c r="E96" s="5" t="s">
        <v>89</v>
      </c>
      <c r="F96" s="5" t="s">
        <v>174</v>
      </c>
      <c r="G96" s="5">
        <v>4.5</v>
      </c>
      <c r="H96" s="5" t="s">
        <v>388</v>
      </c>
    </row>
    <row r="97" spans="1:8" x14ac:dyDescent="0.25">
      <c r="A97" s="4">
        <v>44287</v>
      </c>
      <c r="B97" s="5" t="s">
        <v>26</v>
      </c>
      <c r="C97" s="5" t="s">
        <v>59</v>
      </c>
      <c r="D97" s="5" t="s">
        <v>74</v>
      </c>
      <c r="E97" s="5" t="s">
        <v>82</v>
      </c>
      <c r="F97" s="5" t="s">
        <v>175</v>
      </c>
      <c r="G97" s="5">
        <v>3</v>
      </c>
      <c r="H97" s="5" t="s">
        <v>388</v>
      </c>
    </row>
    <row r="98" spans="1:8" x14ac:dyDescent="0.25">
      <c r="A98" s="4">
        <v>44288</v>
      </c>
      <c r="B98" s="5" t="s">
        <v>29</v>
      </c>
      <c r="C98" s="5" t="s">
        <v>59</v>
      </c>
      <c r="D98" s="5" t="s">
        <v>72</v>
      </c>
      <c r="E98" s="5" t="s">
        <v>83</v>
      </c>
      <c r="F98" s="5" t="s">
        <v>176</v>
      </c>
      <c r="G98" s="5">
        <v>9</v>
      </c>
      <c r="H98" s="5" t="s">
        <v>388</v>
      </c>
    </row>
    <row r="99" spans="1:8" x14ac:dyDescent="0.25">
      <c r="A99" s="4">
        <v>44288</v>
      </c>
      <c r="B99" s="5" t="s">
        <v>19</v>
      </c>
      <c r="C99" s="5" t="s">
        <v>59</v>
      </c>
      <c r="D99" s="5" t="s">
        <v>72</v>
      </c>
      <c r="E99" s="5" t="s">
        <v>83</v>
      </c>
      <c r="F99" s="5" t="s">
        <v>177</v>
      </c>
      <c r="G99" s="5">
        <v>0</v>
      </c>
      <c r="H99" s="5" t="s">
        <v>388</v>
      </c>
    </row>
    <row r="100" spans="1:8" x14ac:dyDescent="0.25">
      <c r="A100" s="4">
        <v>44288</v>
      </c>
      <c r="B100" s="5" t="s">
        <v>28</v>
      </c>
      <c r="C100" s="5" t="s">
        <v>59</v>
      </c>
      <c r="D100" s="5" t="s">
        <v>72</v>
      </c>
      <c r="E100" s="5" t="s">
        <v>83</v>
      </c>
      <c r="F100" s="5" t="s">
        <v>176</v>
      </c>
      <c r="G100" s="5">
        <v>0</v>
      </c>
      <c r="H100" s="5" t="s">
        <v>388</v>
      </c>
    </row>
    <row r="101" spans="1:8" x14ac:dyDescent="0.25">
      <c r="A101" s="4">
        <v>44288</v>
      </c>
      <c r="B101" s="5" t="s">
        <v>24</v>
      </c>
      <c r="C101" s="5" t="s">
        <v>61</v>
      </c>
      <c r="D101" s="5" t="s">
        <v>72</v>
      </c>
      <c r="E101" s="5" t="s">
        <v>83</v>
      </c>
      <c r="F101" s="5" t="s">
        <v>176</v>
      </c>
      <c r="G101" s="5">
        <v>9</v>
      </c>
      <c r="H101" s="5" t="s">
        <v>388</v>
      </c>
    </row>
    <row r="102" spans="1:8" x14ac:dyDescent="0.25">
      <c r="A102" s="4">
        <v>44288</v>
      </c>
      <c r="B102" s="5" t="s">
        <v>23</v>
      </c>
      <c r="C102" s="5" t="s">
        <v>59</v>
      </c>
      <c r="D102" s="5" t="s">
        <v>72</v>
      </c>
      <c r="E102" s="5" t="s">
        <v>83</v>
      </c>
      <c r="F102" s="5" t="s">
        <v>176</v>
      </c>
      <c r="G102" s="5">
        <v>0</v>
      </c>
      <c r="H102" s="5" t="s">
        <v>388</v>
      </c>
    </row>
    <row r="103" spans="1:8" x14ac:dyDescent="0.25">
      <c r="A103" s="4">
        <v>44288</v>
      </c>
      <c r="B103" s="5" t="s">
        <v>25</v>
      </c>
      <c r="C103" s="5" t="s">
        <v>60</v>
      </c>
      <c r="D103" s="5" t="s">
        <v>73</v>
      </c>
      <c r="E103" s="5" t="s">
        <v>79</v>
      </c>
      <c r="F103" s="5" t="s">
        <v>178</v>
      </c>
      <c r="G103" s="5">
        <v>8</v>
      </c>
      <c r="H103" s="5" t="s">
        <v>388</v>
      </c>
    </row>
    <row r="104" spans="1:8" x14ac:dyDescent="0.25">
      <c r="A104" s="4">
        <v>44288</v>
      </c>
      <c r="B104" s="5" t="s">
        <v>25</v>
      </c>
      <c r="C104" s="5" t="s">
        <v>60</v>
      </c>
      <c r="D104" s="5" t="s">
        <v>74</v>
      </c>
      <c r="E104" s="5" t="s">
        <v>84</v>
      </c>
      <c r="F104" s="5" t="s">
        <v>179</v>
      </c>
      <c r="G104" s="5">
        <v>1</v>
      </c>
      <c r="H104" s="5" t="s">
        <v>388</v>
      </c>
    </row>
    <row r="105" spans="1:8" x14ac:dyDescent="0.25">
      <c r="A105" s="4">
        <v>44288</v>
      </c>
      <c r="B105" s="5" t="s">
        <v>20</v>
      </c>
      <c r="C105" s="5" t="s">
        <v>59</v>
      </c>
      <c r="D105" s="5" t="s">
        <v>72</v>
      </c>
      <c r="E105" s="5" t="s">
        <v>83</v>
      </c>
      <c r="F105" s="5" t="s">
        <v>176</v>
      </c>
      <c r="G105" s="5">
        <v>0</v>
      </c>
      <c r="H105" s="5" t="s">
        <v>388</v>
      </c>
    </row>
    <row r="106" spans="1:8" x14ac:dyDescent="0.25">
      <c r="A106" s="4">
        <v>44288</v>
      </c>
      <c r="B106" s="5" t="s">
        <v>14</v>
      </c>
      <c r="C106" s="5" t="s">
        <v>60</v>
      </c>
      <c r="D106" s="5" t="s">
        <v>73</v>
      </c>
      <c r="E106" s="5" t="s">
        <v>79</v>
      </c>
      <c r="F106" s="5" t="s">
        <v>180</v>
      </c>
      <c r="G106" s="5">
        <v>4</v>
      </c>
      <c r="H106" s="5" t="s">
        <v>388</v>
      </c>
    </row>
    <row r="107" spans="1:8" x14ac:dyDescent="0.25">
      <c r="A107" s="4">
        <v>44288</v>
      </c>
      <c r="B107" s="5" t="s">
        <v>27</v>
      </c>
      <c r="C107" s="5" t="s">
        <v>59</v>
      </c>
      <c r="D107" s="5" t="s">
        <v>72</v>
      </c>
      <c r="E107" s="5" t="s">
        <v>83</v>
      </c>
      <c r="F107" s="5" t="s">
        <v>176</v>
      </c>
      <c r="G107" s="5">
        <v>0</v>
      </c>
      <c r="H107" s="5" t="s">
        <v>388</v>
      </c>
    </row>
    <row r="108" spans="1:8" x14ac:dyDescent="0.25">
      <c r="A108" s="4">
        <v>44288</v>
      </c>
      <c r="B108" s="5" t="s">
        <v>21</v>
      </c>
      <c r="C108" s="5" t="s">
        <v>61</v>
      </c>
      <c r="D108" s="5" t="s">
        <v>72</v>
      </c>
      <c r="E108" s="5" t="s">
        <v>83</v>
      </c>
      <c r="F108" s="5" t="s">
        <v>176</v>
      </c>
      <c r="G108" s="5">
        <v>9</v>
      </c>
      <c r="H108" s="5" t="s">
        <v>388</v>
      </c>
    </row>
    <row r="109" spans="1:8" x14ac:dyDescent="0.25">
      <c r="A109" s="4">
        <v>44288</v>
      </c>
      <c r="B109" s="5" t="s">
        <v>16</v>
      </c>
      <c r="C109" s="5" t="s">
        <v>59</v>
      </c>
      <c r="D109" s="5" t="s">
        <v>72</v>
      </c>
      <c r="E109" s="5" t="s">
        <v>83</v>
      </c>
      <c r="F109" s="5" t="s">
        <v>125</v>
      </c>
      <c r="G109" s="5">
        <v>0</v>
      </c>
      <c r="H109" s="5" t="s">
        <v>388</v>
      </c>
    </row>
    <row r="110" spans="1:8" x14ac:dyDescent="0.25">
      <c r="A110" s="4">
        <v>44288</v>
      </c>
      <c r="B110" s="5" t="s">
        <v>17</v>
      </c>
      <c r="C110" s="5" t="s">
        <v>60</v>
      </c>
      <c r="D110" s="5" t="s">
        <v>73</v>
      </c>
      <c r="E110" s="5" t="s">
        <v>79</v>
      </c>
      <c r="F110" s="5" t="s">
        <v>181</v>
      </c>
      <c r="G110" s="5">
        <v>5</v>
      </c>
      <c r="H110" s="5" t="s">
        <v>388</v>
      </c>
    </row>
    <row r="111" spans="1:8" x14ac:dyDescent="0.25">
      <c r="A111" s="4">
        <v>44288</v>
      </c>
      <c r="B111" s="5" t="s">
        <v>31</v>
      </c>
      <c r="C111" s="5" t="s">
        <v>59</v>
      </c>
      <c r="D111" s="5" t="s">
        <v>72</v>
      </c>
      <c r="E111" s="5" t="s">
        <v>83</v>
      </c>
      <c r="F111" s="5" t="s">
        <v>176</v>
      </c>
      <c r="G111" s="5">
        <v>0</v>
      </c>
      <c r="H111" s="5" t="s">
        <v>388</v>
      </c>
    </row>
    <row r="112" spans="1:8" x14ac:dyDescent="0.25">
      <c r="A112" s="4">
        <v>44288</v>
      </c>
      <c r="B112" s="5" t="s">
        <v>13</v>
      </c>
      <c r="C112" s="5" t="s">
        <v>59</v>
      </c>
      <c r="D112" s="5" t="s">
        <v>72</v>
      </c>
      <c r="E112" s="5" t="s">
        <v>83</v>
      </c>
      <c r="F112" s="5" t="s">
        <v>125</v>
      </c>
      <c r="G112" s="5">
        <v>0</v>
      </c>
      <c r="H112" s="5" t="s">
        <v>388</v>
      </c>
    </row>
    <row r="113" spans="1:8" x14ac:dyDescent="0.25">
      <c r="A113" s="4">
        <v>44288</v>
      </c>
      <c r="B113" s="5" t="s">
        <v>30</v>
      </c>
      <c r="C113" s="5" t="s">
        <v>59</v>
      </c>
      <c r="D113" s="5" t="s">
        <v>72</v>
      </c>
      <c r="E113" s="5" t="s">
        <v>83</v>
      </c>
      <c r="F113" s="5" t="s">
        <v>125</v>
      </c>
      <c r="G113" s="5">
        <v>0</v>
      </c>
      <c r="H113" s="5" t="s">
        <v>388</v>
      </c>
    </row>
    <row r="114" spans="1:8" x14ac:dyDescent="0.25">
      <c r="A114" s="4">
        <v>44288</v>
      </c>
      <c r="B114" s="5" t="s">
        <v>26</v>
      </c>
      <c r="C114" s="5" t="s">
        <v>59</v>
      </c>
      <c r="D114" s="5" t="s">
        <v>72</v>
      </c>
      <c r="E114" s="5" t="s">
        <v>83</v>
      </c>
      <c r="F114" s="5" t="s">
        <v>182</v>
      </c>
      <c r="G114" s="5">
        <v>0</v>
      </c>
      <c r="H114" s="5" t="s">
        <v>388</v>
      </c>
    </row>
    <row r="115" spans="1:8" x14ac:dyDescent="0.25">
      <c r="A115" s="4">
        <v>44288</v>
      </c>
      <c r="B115" s="5" t="s">
        <v>15</v>
      </c>
      <c r="C115" s="5" t="s">
        <v>59</v>
      </c>
      <c r="D115" s="5" t="s">
        <v>72</v>
      </c>
      <c r="E115" s="5" t="s">
        <v>83</v>
      </c>
      <c r="F115" s="5" t="s">
        <v>183</v>
      </c>
      <c r="G115" s="5">
        <v>0</v>
      </c>
      <c r="H115" s="5" t="s">
        <v>388</v>
      </c>
    </row>
    <row r="116" spans="1:8" x14ac:dyDescent="0.25">
      <c r="A116" s="4">
        <v>44288</v>
      </c>
      <c r="B116" s="5" t="s">
        <v>18</v>
      </c>
      <c r="C116" s="5" t="s">
        <v>59</v>
      </c>
      <c r="D116" s="5" t="s">
        <v>72</v>
      </c>
      <c r="E116" s="5" t="s">
        <v>83</v>
      </c>
      <c r="F116" s="5" t="s">
        <v>184</v>
      </c>
      <c r="G116" s="5">
        <v>0</v>
      </c>
      <c r="H116" s="5" t="s">
        <v>388</v>
      </c>
    </row>
    <row r="117" spans="1:8" x14ac:dyDescent="0.25">
      <c r="A117" s="4">
        <v>44289</v>
      </c>
      <c r="B117" s="5" t="s">
        <v>25</v>
      </c>
      <c r="C117" s="5" t="s">
        <v>60</v>
      </c>
      <c r="D117" s="5" t="s">
        <v>73</v>
      </c>
      <c r="E117" s="5" t="s">
        <v>79</v>
      </c>
      <c r="F117" s="5" t="s">
        <v>178</v>
      </c>
      <c r="G117" s="5">
        <v>9</v>
      </c>
      <c r="H117" s="5" t="s">
        <v>388</v>
      </c>
    </row>
    <row r="118" spans="1:8" x14ac:dyDescent="0.25">
      <c r="A118" s="4">
        <v>44289</v>
      </c>
      <c r="B118" s="5" t="s">
        <v>17</v>
      </c>
      <c r="C118" s="5" t="s">
        <v>60</v>
      </c>
      <c r="D118" s="5" t="s">
        <v>73</v>
      </c>
      <c r="E118" s="5" t="s">
        <v>79</v>
      </c>
      <c r="F118" s="5" t="s">
        <v>181</v>
      </c>
      <c r="G118" s="5">
        <v>5</v>
      </c>
      <c r="H118" s="5" t="s">
        <v>388</v>
      </c>
    </row>
    <row r="119" spans="1:8" x14ac:dyDescent="0.25">
      <c r="A119" s="4">
        <v>44289</v>
      </c>
      <c r="B119" s="5" t="s">
        <v>14</v>
      </c>
      <c r="C119" s="5" t="s">
        <v>60</v>
      </c>
      <c r="D119" s="5" t="s">
        <v>73</v>
      </c>
      <c r="E119" s="5" t="s">
        <v>79</v>
      </c>
      <c r="F119" s="5" t="s">
        <v>180</v>
      </c>
      <c r="G119" s="5">
        <v>4</v>
      </c>
      <c r="H119" s="5" t="s">
        <v>388</v>
      </c>
    </row>
    <row r="120" spans="1:8" x14ac:dyDescent="0.25">
      <c r="A120" s="4">
        <v>44291</v>
      </c>
      <c r="B120" s="5" t="s">
        <v>21</v>
      </c>
      <c r="C120" s="5" t="s">
        <v>61</v>
      </c>
      <c r="D120" s="5" t="s">
        <v>73</v>
      </c>
      <c r="E120" s="5" t="s">
        <v>79</v>
      </c>
      <c r="F120" s="5" t="s">
        <v>185</v>
      </c>
      <c r="G120" s="5">
        <v>1.5</v>
      </c>
      <c r="H120" s="5" t="s">
        <v>388</v>
      </c>
    </row>
    <row r="121" spans="1:8" x14ac:dyDescent="0.25">
      <c r="A121" s="4">
        <v>44291</v>
      </c>
      <c r="B121" s="5" t="s">
        <v>21</v>
      </c>
      <c r="C121" s="5" t="s">
        <v>61</v>
      </c>
      <c r="D121" s="5" t="s">
        <v>74</v>
      </c>
      <c r="E121" s="5" t="s">
        <v>84</v>
      </c>
      <c r="F121" s="5" t="s">
        <v>186</v>
      </c>
      <c r="G121" s="5">
        <v>3</v>
      </c>
      <c r="H121" s="5" t="s">
        <v>388</v>
      </c>
    </row>
    <row r="122" spans="1:8" x14ac:dyDescent="0.25">
      <c r="A122" s="4">
        <v>44291</v>
      </c>
      <c r="B122" s="5" t="s">
        <v>24</v>
      </c>
      <c r="C122" s="5" t="s">
        <v>61</v>
      </c>
      <c r="D122" s="5" t="s">
        <v>74</v>
      </c>
      <c r="E122" s="5" t="s">
        <v>84</v>
      </c>
      <c r="F122" s="5" t="s">
        <v>145</v>
      </c>
      <c r="G122" s="5">
        <v>5</v>
      </c>
      <c r="H122" s="5" t="s">
        <v>388</v>
      </c>
    </row>
    <row r="123" spans="1:8" x14ac:dyDescent="0.25">
      <c r="A123" s="4">
        <v>44291</v>
      </c>
      <c r="B123" s="5" t="s">
        <v>24</v>
      </c>
      <c r="C123" s="5" t="s">
        <v>61</v>
      </c>
      <c r="D123" s="5" t="s">
        <v>73</v>
      </c>
      <c r="E123" s="5" t="s">
        <v>87</v>
      </c>
      <c r="F123" s="5" t="s">
        <v>187</v>
      </c>
      <c r="G123" s="5">
        <v>2</v>
      </c>
      <c r="H123" s="5" t="s">
        <v>388</v>
      </c>
    </row>
    <row r="124" spans="1:8" x14ac:dyDescent="0.25">
      <c r="A124" s="4">
        <v>44291</v>
      </c>
      <c r="B124" s="5" t="s">
        <v>21</v>
      </c>
      <c r="C124" s="5" t="s">
        <v>61</v>
      </c>
      <c r="D124" s="5" t="s">
        <v>71</v>
      </c>
      <c r="E124" s="5" t="s">
        <v>86</v>
      </c>
      <c r="F124" s="5" t="s">
        <v>188</v>
      </c>
      <c r="G124" s="5">
        <v>1</v>
      </c>
      <c r="H124" s="5" t="s">
        <v>388</v>
      </c>
    </row>
    <row r="125" spans="1:8" x14ac:dyDescent="0.25">
      <c r="A125" s="4">
        <v>44291</v>
      </c>
      <c r="B125" s="5" t="s">
        <v>24</v>
      </c>
      <c r="C125" s="5" t="s">
        <v>61</v>
      </c>
      <c r="D125" s="5" t="s">
        <v>73</v>
      </c>
      <c r="E125" s="5" t="s">
        <v>79</v>
      </c>
      <c r="F125" s="5" t="s">
        <v>189</v>
      </c>
      <c r="G125" s="5">
        <v>2</v>
      </c>
      <c r="H125" s="5" t="s">
        <v>388</v>
      </c>
    </row>
    <row r="126" spans="1:8" x14ac:dyDescent="0.25">
      <c r="A126" s="4">
        <v>44291</v>
      </c>
      <c r="B126" s="5" t="s">
        <v>21</v>
      </c>
      <c r="C126" s="5" t="s">
        <v>61</v>
      </c>
      <c r="D126" s="5" t="s">
        <v>71</v>
      </c>
      <c r="E126" s="5" t="s">
        <v>86</v>
      </c>
      <c r="F126" s="5" t="s">
        <v>190</v>
      </c>
      <c r="G126" s="5">
        <v>2</v>
      </c>
      <c r="H126" s="5" t="s">
        <v>388</v>
      </c>
    </row>
    <row r="127" spans="1:8" x14ac:dyDescent="0.25">
      <c r="A127" s="4">
        <v>44291</v>
      </c>
      <c r="B127" s="5" t="s">
        <v>21</v>
      </c>
      <c r="C127" s="5" t="s">
        <v>61</v>
      </c>
      <c r="D127" s="5" t="s">
        <v>73</v>
      </c>
      <c r="E127" s="5" t="s">
        <v>79</v>
      </c>
      <c r="F127" s="5" t="s">
        <v>191</v>
      </c>
      <c r="G127" s="5">
        <v>1</v>
      </c>
      <c r="H127" s="5" t="s">
        <v>388</v>
      </c>
    </row>
    <row r="128" spans="1:8" x14ac:dyDescent="0.25">
      <c r="A128" s="4">
        <v>44291</v>
      </c>
      <c r="B128" s="5" t="s">
        <v>21</v>
      </c>
      <c r="C128" s="5" t="s">
        <v>61</v>
      </c>
      <c r="D128" s="5" t="s">
        <v>71</v>
      </c>
      <c r="E128" s="5" t="s">
        <v>86</v>
      </c>
      <c r="F128" s="5" t="s">
        <v>192</v>
      </c>
      <c r="G128" s="5">
        <v>0.5</v>
      </c>
      <c r="H128" s="5" t="s">
        <v>388</v>
      </c>
    </row>
    <row r="129" spans="1:8" x14ac:dyDescent="0.25">
      <c r="A129" s="4">
        <v>44287</v>
      </c>
      <c r="B129" s="5" t="s">
        <v>32</v>
      </c>
      <c r="C129" s="5" t="s">
        <v>62</v>
      </c>
      <c r="D129" s="5" t="s">
        <v>73</v>
      </c>
      <c r="E129" s="5" t="s">
        <v>79</v>
      </c>
      <c r="F129" s="5" t="s">
        <v>193</v>
      </c>
      <c r="G129" s="5">
        <v>1</v>
      </c>
      <c r="H129" s="5" t="s">
        <v>388</v>
      </c>
    </row>
    <row r="130" spans="1:8" x14ac:dyDescent="0.25">
      <c r="A130" s="4">
        <v>44287</v>
      </c>
      <c r="B130" s="5" t="s">
        <v>32</v>
      </c>
      <c r="C130" s="5" t="s">
        <v>62</v>
      </c>
      <c r="D130" s="5" t="s">
        <v>73</v>
      </c>
      <c r="E130" s="5" t="s">
        <v>79</v>
      </c>
      <c r="F130" s="5" t="s">
        <v>193</v>
      </c>
      <c r="G130" s="5">
        <v>1</v>
      </c>
      <c r="H130" s="5" t="s">
        <v>388</v>
      </c>
    </row>
    <row r="131" spans="1:8" x14ac:dyDescent="0.25">
      <c r="A131" s="4">
        <v>44287</v>
      </c>
      <c r="B131" s="5" t="s">
        <v>33</v>
      </c>
      <c r="C131" s="5" t="s">
        <v>63</v>
      </c>
      <c r="D131" s="5" t="s">
        <v>73</v>
      </c>
      <c r="E131" s="5" t="s">
        <v>79</v>
      </c>
      <c r="F131" s="5" t="s">
        <v>194</v>
      </c>
      <c r="G131" s="5">
        <v>3</v>
      </c>
      <c r="H131" s="5" t="s">
        <v>388</v>
      </c>
    </row>
    <row r="132" spans="1:8" x14ac:dyDescent="0.25">
      <c r="A132" s="4">
        <v>44287</v>
      </c>
      <c r="B132" s="5" t="s">
        <v>33</v>
      </c>
      <c r="C132" s="5" t="s">
        <v>63</v>
      </c>
      <c r="D132" s="5" t="s">
        <v>73</v>
      </c>
      <c r="E132" s="5" t="s">
        <v>76</v>
      </c>
      <c r="F132" s="5" t="s">
        <v>195</v>
      </c>
      <c r="G132" s="5">
        <v>0.5</v>
      </c>
      <c r="H132" s="5" t="s">
        <v>388</v>
      </c>
    </row>
    <row r="133" spans="1:8" x14ac:dyDescent="0.25">
      <c r="A133" s="4">
        <v>44287</v>
      </c>
      <c r="B133" s="5" t="s">
        <v>33</v>
      </c>
      <c r="C133" s="5" t="s">
        <v>63</v>
      </c>
      <c r="D133" s="5" t="s">
        <v>74</v>
      </c>
      <c r="E133" s="5" t="s">
        <v>84</v>
      </c>
      <c r="F133" s="5" t="s">
        <v>196</v>
      </c>
      <c r="G133" s="5">
        <v>0.5</v>
      </c>
      <c r="H133" s="5" t="s">
        <v>388</v>
      </c>
    </row>
    <row r="134" spans="1:8" x14ac:dyDescent="0.25">
      <c r="A134" s="4">
        <v>44287</v>
      </c>
      <c r="B134" s="5" t="s">
        <v>33</v>
      </c>
      <c r="C134" s="5" t="s">
        <v>63</v>
      </c>
      <c r="D134" s="5" t="s">
        <v>73</v>
      </c>
      <c r="E134" s="5" t="s">
        <v>87</v>
      </c>
      <c r="F134" s="5" t="s">
        <v>197</v>
      </c>
      <c r="G134" s="5">
        <v>0.5</v>
      </c>
      <c r="H134" s="5" t="s">
        <v>388</v>
      </c>
    </row>
    <row r="135" spans="1:8" x14ac:dyDescent="0.25">
      <c r="A135" s="4">
        <v>44287</v>
      </c>
      <c r="B135" s="5" t="s">
        <v>33</v>
      </c>
      <c r="C135" s="5" t="s">
        <v>63</v>
      </c>
      <c r="D135" s="5" t="s">
        <v>73</v>
      </c>
      <c r="E135" s="5" t="s">
        <v>87</v>
      </c>
      <c r="F135" s="5" t="s">
        <v>198</v>
      </c>
      <c r="G135" s="5">
        <v>0.5</v>
      </c>
      <c r="H135" s="5" t="s">
        <v>388</v>
      </c>
    </row>
    <row r="136" spans="1:8" x14ac:dyDescent="0.25">
      <c r="A136" s="4">
        <v>44287</v>
      </c>
      <c r="B136" s="5" t="s">
        <v>34</v>
      </c>
      <c r="C136" s="5" t="s">
        <v>63</v>
      </c>
      <c r="D136" s="5" t="s">
        <v>74</v>
      </c>
      <c r="E136" s="5" t="s">
        <v>84</v>
      </c>
      <c r="F136" s="5" t="s">
        <v>199</v>
      </c>
      <c r="G136" s="5">
        <v>1</v>
      </c>
      <c r="H136" s="5" t="s">
        <v>388</v>
      </c>
    </row>
    <row r="137" spans="1:8" x14ac:dyDescent="0.25">
      <c r="A137" s="4">
        <v>44287</v>
      </c>
      <c r="B137" s="5" t="s">
        <v>34</v>
      </c>
      <c r="C137" s="5" t="s">
        <v>63</v>
      </c>
      <c r="D137" s="5" t="s">
        <v>73</v>
      </c>
      <c r="E137" s="5" t="s">
        <v>79</v>
      </c>
      <c r="F137" s="5" t="s">
        <v>200</v>
      </c>
      <c r="G137" s="5">
        <v>4.5</v>
      </c>
      <c r="H137" s="5" t="s">
        <v>388</v>
      </c>
    </row>
    <row r="138" spans="1:8" x14ac:dyDescent="0.25">
      <c r="A138" s="4">
        <v>44287</v>
      </c>
      <c r="B138" s="5" t="s">
        <v>34</v>
      </c>
      <c r="C138" s="5" t="s">
        <v>63</v>
      </c>
      <c r="D138" s="5" t="s">
        <v>73</v>
      </c>
      <c r="E138" s="5" t="s">
        <v>76</v>
      </c>
      <c r="F138" s="5" t="s">
        <v>201</v>
      </c>
      <c r="G138" s="5">
        <v>1</v>
      </c>
      <c r="H138" s="5" t="s">
        <v>388</v>
      </c>
    </row>
    <row r="139" spans="1:8" x14ac:dyDescent="0.25">
      <c r="A139" s="4">
        <v>44287</v>
      </c>
      <c r="B139" s="5" t="s">
        <v>34</v>
      </c>
      <c r="C139" s="5" t="s">
        <v>63</v>
      </c>
      <c r="D139" s="5" t="s">
        <v>71</v>
      </c>
      <c r="E139" s="5" t="s">
        <v>88</v>
      </c>
      <c r="F139" s="5" t="s">
        <v>202</v>
      </c>
      <c r="G139" s="5">
        <v>0.5</v>
      </c>
      <c r="H139" s="5" t="s">
        <v>388</v>
      </c>
    </row>
    <row r="140" spans="1:8" x14ac:dyDescent="0.25">
      <c r="A140" s="4">
        <v>44287</v>
      </c>
      <c r="B140" s="5" t="s">
        <v>34</v>
      </c>
      <c r="C140" s="5" t="s">
        <v>63</v>
      </c>
      <c r="D140" s="5" t="s">
        <v>71</v>
      </c>
      <c r="E140" s="5" t="s">
        <v>57</v>
      </c>
      <c r="F140" s="5" t="s">
        <v>203</v>
      </c>
      <c r="G140" s="5">
        <v>0.5</v>
      </c>
      <c r="H140" s="5" t="s">
        <v>388</v>
      </c>
    </row>
    <row r="141" spans="1:8" x14ac:dyDescent="0.25">
      <c r="A141" s="4">
        <v>44287</v>
      </c>
      <c r="B141" s="5" t="s">
        <v>35</v>
      </c>
      <c r="C141" s="5" t="s">
        <v>64</v>
      </c>
      <c r="D141" s="5" t="s">
        <v>71</v>
      </c>
      <c r="E141" s="5" t="s">
        <v>86</v>
      </c>
      <c r="F141" s="5" t="s">
        <v>204</v>
      </c>
      <c r="G141" s="5">
        <v>5</v>
      </c>
      <c r="H141" s="5" t="s">
        <v>388</v>
      </c>
    </row>
    <row r="142" spans="1:8" x14ac:dyDescent="0.25">
      <c r="A142" s="4">
        <v>44287</v>
      </c>
      <c r="B142" s="5" t="s">
        <v>34</v>
      </c>
      <c r="C142" s="5" t="s">
        <v>63</v>
      </c>
      <c r="D142" s="5" t="s">
        <v>72</v>
      </c>
      <c r="E142" s="5" t="s">
        <v>78</v>
      </c>
      <c r="F142" s="5" t="s">
        <v>103</v>
      </c>
      <c r="G142" s="5">
        <v>0.5</v>
      </c>
      <c r="H142" s="5" t="s">
        <v>388</v>
      </c>
    </row>
    <row r="143" spans="1:8" x14ac:dyDescent="0.25">
      <c r="A143" s="4">
        <v>44287</v>
      </c>
      <c r="B143" s="5" t="s">
        <v>33</v>
      </c>
      <c r="C143" s="5" t="s">
        <v>63</v>
      </c>
      <c r="D143" s="5" t="s">
        <v>73</v>
      </c>
      <c r="E143" s="5" t="s">
        <v>77</v>
      </c>
      <c r="F143" s="5" t="s">
        <v>205</v>
      </c>
      <c r="G143" s="5">
        <v>0.5</v>
      </c>
      <c r="H143" s="5" t="s">
        <v>388</v>
      </c>
    </row>
    <row r="144" spans="1:8" x14ac:dyDescent="0.25">
      <c r="A144" s="4">
        <v>44287</v>
      </c>
      <c r="B144" s="5" t="s">
        <v>32</v>
      </c>
      <c r="C144" s="5" t="s">
        <v>62</v>
      </c>
      <c r="D144" s="5" t="s">
        <v>74</v>
      </c>
      <c r="E144" s="5" t="s">
        <v>76</v>
      </c>
      <c r="F144" s="5" t="s">
        <v>206</v>
      </c>
      <c r="G144" s="5">
        <v>1</v>
      </c>
      <c r="H144" s="5" t="s">
        <v>388</v>
      </c>
    </row>
    <row r="145" spans="1:8" x14ac:dyDescent="0.25">
      <c r="A145" s="4">
        <v>44287</v>
      </c>
      <c r="B145" s="5" t="s">
        <v>32</v>
      </c>
      <c r="C145" s="5" t="s">
        <v>62</v>
      </c>
      <c r="D145" s="5" t="s">
        <v>73</v>
      </c>
      <c r="E145" s="5" t="s">
        <v>87</v>
      </c>
      <c r="F145" s="5" t="s">
        <v>115</v>
      </c>
      <c r="G145" s="5">
        <v>1</v>
      </c>
      <c r="H145" s="5" t="s">
        <v>388</v>
      </c>
    </row>
    <row r="146" spans="1:8" x14ac:dyDescent="0.25">
      <c r="A146" s="4">
        <v>44287</v>
      </c>
      <c r="B146" s="5" t="s">
        <v>32</v>
      </c>
      <c r="C146" s="5" t="s">
        <v>62</v>
      </c>
      <c r="D146" s="5" t="s">
        <v>73</v>
      </c>
      <c r="E146" s="5" t="s">
        <v>79</v>
      </c>
      <c r="F146" s="5" t="s">
        <v>207</v>
      </c>
      <c r="G146" s="5">
        <v>0.5</v>
      </c>
      <c r="H146" s="5" t="s">
        <v>388</v>
      </c>
    </row>
    <row r="147" spans="1:8" x14ac:dyDescent="0.25">
      <c r="A147" s="4">
        <v>44287</v>
      </c>
      <c r="B147" s="5" t="s">
        <v>32</v>
      </c>
      <c r="C147" s="5" t="s">
        <v>62</v>
      </c>
      <c r="D147" s="5" t="s">
        <v>71</v>
      </c>
      <c r="E147" s="5" t="s">
        <v>86</v>
      </c>
      <c r="F147" s="5" t="s">
        <v>208</v>
      </c>
      <c r="G147" s="5">
        <v>0.5</v>
      </c>
      <c r="H147" s="5" t="s">
        <v>388</v>
      </c>
    </row>
    <row r="148" spans="1:8" x14ac:dyDescent="0.25">
      <c r="A148" s="4">
        <v>44287</v>
      </c>
      <c r="B148" s="5" t="s">
        <v>32</v>
      </c>
      <c r="C148" s="5" t="s">
        <v>62</v>
      </c>
      <c r="D148" s="5" t="s">
        <v>75</v>
      </c>
      <c r="E148" s="5" t="s">
        <v>86</v>
      </c>
      <c r="F148" s="5" t="s">
        <v>209</v>
      </c>
      <c r="G148" s="5">
        <v>5</v>
      </c>
      <c r="H148" s="5" t="s">
        <v>388</v>
      </c>
    </row>
    <row r="149" spans="1:8" x14ac:dyDescent="0.25">
      <c r="A149" s="4">
        <v>44287</v>
      </c>
      <c r="B149" s="5" t="s">
        <v>36</v>
      </c>
      <c r="C149" s="5" t="s">
        <v>65</v>
      </c>
      <c r="D149" s="5" t="s">
        <v>73</v>
      </c>
      <c r="E149" s="5" t="s">
        <v>87</v>
      </c>
      <c r="F149" s="5" t="s">
        <v>210</v>
      </c>
      <c r="G149" s="5">
        <v>2</v>
      </c>
      <c r="H149" s="5" t="s">
        <v>388</v>
      </c>
    </row>
    <row r="150" spans="1:8" x14ac:dyDescent="0.25">
      <c r="A150" s="4">
        <v>44287</v>
      </c>
      <c r="B150" s="5" t="s">
        <v>37</v>
      </c>
      <c r="C150" s="5" t="s">
        <v>66</v>
      </c>
      <c r="D150" s="5" t="s">
        <v>75</v>
      </c>
      <c r="E150" s="5" t="s">
        <v>86</v>
      </c>
      <c r="F150" s="5" t="s">
        <v>211</v>
      </c>
      <c r="G150" s="5">
        <v>6</v>
      </c>
      <c r="H150" s="5" t="s">
        <v>388</v>
      </c>
    </row>
    <row r="151" spans="1:8" x14ac:dyDescent="0.25">
      <c r="A151" s="4">
        <v>44287</v>
      </c>
      <c r="B151" s="5" t="s">
        <v>38</v>
      </c>
      <c r="C151" s="5" t="s">
        <v>63</v>
      </c>
      <c r="D151" s="5" t="s">
        <v>72</v>
      </c>
      <c r="E151" s="5" t="s">
        <v>83</v>
      </c>
      <c r="F151" s="5" t="s">
        <v>212</v>
      </c>
      <c r="G151" s="5">
        <v>9</v>
      </c>
      <c r="H151" s="5" t="s">
        <v>388</v>
      </c>
    </row>
    <row r="152" spans="1:8" x14ac:dyDescent="0.25">
      <c r="A152" s="4">
        <v>44287</v>
      </c>
      <c r="B152" s="5" t="s">
        <v>37</v>
      </c>
      <c r="C152" s="5" t="s">
        <v>66</v>
      </c>
      <c r="D152" s="5" t="s">
        <v>73</v>
      </c>
      <c r="E152" s="5" t="s">
        <v>79</v>
      </c>
      <c r="F152" s="5" t="s">
        <v>213</v>
      </c>
      <c r="G152" s="5">
        <v>2</v>
      </c>
      <c r="H152" s="5" t="s">
        <v>388</v>
      </c>
    </row>
    <row r="153" spans="1:8" x14ac:dyDescent="0.25">
      <c r="A153" s="4">
        <v>44287</v>
      </c>
      <c r="B153" s="5" t="s">
        <v>35</v>
      </c>
      <c r="C153" s="5" t="s">
        <v>64</v>
      </c>
      <c r="D153" s="5" t="s">
        <v>73</v>
      </c>
      <c r="E153" s="5" t="s">
        <v>79</v>
      </c>
      <c r="F153" s="5" t="s">
        <v>214</v>
      </c>
      <c r="G153" s="5">
        <v>1</v>
      </c>
      <c r="H153" s="5" t="s">
        <v>388</v>
      </c>
    </row>
    <row r="154" spans="1:8" x14ac:dyDescent="0.25">
      <c r="A154" s="4">
        <v>44287</v>
      </c>
      <c r="B154" s="5" t="s">
        <v>35</v>
      </c>
      <c r="C154" s="5" t="s">
        <v>64</v>
      </c>
      <c r="D154" s="5" t="s">
        <v>72</v>
      </c>
      <c r="E154" s="5" t="s">
        <v>78</v>
      </c>
      <c r="F154" s="5" t="s">
        <v>215</v>
      </c>
      <c r="G154" s="5">
        <v>1</v>
      </c>
      <c r="H154" s="5" t="s">
        <v>388</v>
      </c>
    </row>
    <row r="155" spans="1:8" x14ac:dyDescent="0.25">
      <c r="A155" s="4">
        <v>44287</v>
      </c>
      <c r="B155" s="5" t="s">
        <v>34</v>
      </c>
      <c r="C155" s="5" t="s">
        <v>63</v>
      </c>
      <c r="D155" s="5" t="s">
        <v>73</v>
      </c>
      <c r="E155" s="5" t="s">
        <v>77</v>
      </c>
      <c r="F155" s="5" t="s">
        <v>216</v>
      </c>
      <c r="G155" s="5">
        <v>1</v>
      </c>
      <c r="H155" s="5" t="s">
        <v>388</v>
      </c>
    </row>
    <row r="156" spans="1:8" x14ac:dyDescent="0.25">
      <c r="A156" s="4">
        <v>44287</v>
      </c>
      <c r="B156" s="5" t="s">
        <v>39</v>
      </c>
      <c r="C156" s="5" t="s">
        <v>67</v>
      </c>
      <c r="D156" s="5" t="s">
        <v>73</v>
      </c>
      <c r="E156" s="5" t="s">
        <v>79</v>
      </c>
      <c r="F156" s="5" t="s">
        <v>217</v>
      </c>
      <c r="G156" s="5">
        <v>0.5</v>
      </c>
      <c r="H156" s="5" t="s">
        <v>388</v>
      </c>
    </row>
    <row r="157" spans="1:8" x14ac:dyDescent="0.25">
      <c r="A157" s="4">
        <v>44287</v>
      </c>
      <c r="B157" s="5" t="s">
        <v>40</v>
      </c>
      <c r="C157" s="5" t="s">
        <v>63</v>
      </c>
      <c r="D157" s="5" t="s">
        <v>74</v>
      </c>
      <c r="E157" s="5" t="s">
        <v>84</v>
      </c>
      <c r="F157" s="5" t="s">
        <v>218</v>
      </c>
      <c r="G157" s="5">
        <v>2.5</v>
      </c>
      <c r="H157" s="5" t="s">
        <v>388</v>
      </c>
    </row>
    <row r="158" spans="1:8" x14ac:dyDescent="0.25">
      <c r="A158" s="4">
        <v>44287</v>
      </c>
      <c r="B158" s="5" t="s">
        <v>40</v>
      </c>
      <c r="C158" s="5" t="s">
        <v>63</v>
      </c>
      <c r="D158" s="5" t="s">
        <v>73</v>
      </c>
      <c r="E158" s="5" t="s">
        <v>77</v>
      </c>
      <c r="F158" s="5" t="s">
        <v>147</v>
      </c>
      <c r="G158" s="5">
        <v>0.5</v>
      </c>
      <c r="H158" s="5" t="s">
        <v>388</v>
      </c>
    </row>
    <row r="159" spans="1:8" x14ac:dyDescent="0.25">
      <c r="A159" s="4">
        <v>44287</v>
      </c>
      <c r="B159" s="5" t="s">
        <v>40</v>
      </c>
      <c r="C159" s="5" t="s">
        <v>63</v>
      </c>
      <c r="D159" s="5" t="s">
        <v>73</v>
      </c>
      <c r="E159" s="5" t="s">
        <v>79</v>
      </c>
      <c r="F159" s="5" t="s">
        <v>219</v>
      </c>
      <c r="G159" s="5">
        <v>1</v>
      </c>
      <c r="H159" s="5" t="s">
        <v>388</v>
      </c>
    </row>
    <row r="160" spans="1:8" x14ac:dyDescent="0.25">
      <c r="A160" s="4">
        <v>44287</v>
      </c>
      <c r="B160" s="5" t="s">
        <v>40</v>
      </c>
      <c r="C160" s="5" t="s">
        <v>63</v>
      </c>
      <c r="D160" s="5" t="s">
        <v>73</v>
      </c>
      <c r="E160" s="5" t="s">
        <v>79</v>
      </c>
      <c r="F160" s="5" t="s">
        <v>220</v>
      </c>
      <c r="G160" s="5">
        <v>0.5</v>
      </c>
      <c r="H160" s="5" t="s">
        <v>388</v>
      </c>
    </row>
    <row r="161" spans="1:8" x14ac:dyDescent="0.25">
      <c r="A161" s="4">
        <v>44287</v>
      </c>
      <c r="B161" s="5" t="s">
        <v>40</v>
      </c>
      <c r="C161" s="5" t="s">
        <v>63</v>
      </c>
      <c r="D161" s="5" t="s">
        <v>73</v>
      </c>
      <c r="E161" s="5" t="s">
        <v>79</v>
      </c>
      <c r="F161" s="5" t="s">
        <v>221</v>
      </c>
      <c r="G161" s="5">
        <v>2</v>
      </c>
      <c r="H161" s="5" t="s">
        <v>388</v>
      </c>
    </row>
    <row r="162" spans="1:8" x14ac:dyDescent="0.25">
      <c r="A162" s="4">
        <v>44287</v>
      </c>
      <c r="B162" s="5" t="s">
        <v>40</v>
      </c>
      <c r="C162" s="5" t="s">
        <v>63</v>
      </c>
      <c r="D162" s="5" t="s">
        <v>73</v>
      </c>
      <c r="E162" s="5" t="s">
        <v>79</v>
      </c>
      <c r="F162" s="5" t="s">
        <v>222</v>
      </c>
      <c r="G162" s="5">
        <v>0.3</v>
      </c>
      <c r="H162" s="5" t="s">
        <v>388</v>
      </c>
    </row>
    <row r="163" spans="1:8" x14ac:dyDescent="0.25">
      <c r="A163" s="4">
        <v>44287</v>
      </c>
      <c r="B163" s="5" t="s">
        <v>40</v>
      </c>
      <c r="C163" s="5" t="s">
        <v>63</v>
      </c>
      <c r="D163" s="5" t="s">
        <v>73</v>
      </c>
      <c r="E163" s="5" t="s">
        <v>79</v>
      </c>
      <c r="F163" s="5" t="s">
        <v>223</v>
      </c>
      <c r="G163" s="5">
        <v>0.2</v>
      </c>
      <c r="H163" s="5" t="s">
        <v>388</v>
      </c>
    </row>
    <row r="164" spans="1:8" x14ac:dyDescent="0.25">
      <c r="A164" s="4">
        <v>44287</v>
      </c>
      <c r="B164" s="5" t="s">
        <v>40</v>
      </c>
      <c r="C164" s="5" t="s">
        <v>63</v>
      </c>
      <c r="D164" s="5" t="s">
        <v>71</v>
      </c>
      <c r="E164" s="5" t="s">
        <v>86</v>
      </c>
      <c r="F164" s="5" t="s">
        <v>224</v>
      </c>
      <c r="G164" s="5">
        <v>2</v>
      </c>
      <c r="H164" s="5" t="s">
        <v>388</v>
      </c>
    </row>
    <row r="165" spans="1:8" x14ac:dyDescent="0.25">
      <c r="A165" s="4">
        <v>44287</v>
      </c>
      <c r="B165" s="5" t="s">
        <v>41</v>
      </c>
      <c r="C165" s="5" t="s">
        <v>67</v>
      </c>
      <c r="D165" s="5" t="s">
        <v>73</v>
      </c>
      <c r="E165" s="5" t="s">
        <v>79</v>
      </c>
      <c r="F165" s="5" t="s">
        <v>225</v>
      </c>
      <c r="G165" s="5">
        <v>1</v>
      </c>
      <c r="H165" s="5" t="s">
        <v>388</v>
      </c>
    </row>
    <row r="166" spans="1:8" x14ac:dyDescent="0.25">
      <c r="A166" s="4">
        <v>44287</v>
      </c>
      <c r="B166" s="5" t="s">
        <v>39</v>
      </c>
      <c r="C166" s="5" t="s">
        <v>67</v>
      </c>
      <c r="D166" s="5" t="s">
        <v>73</v>
      </c>
      <c r="E166" s="5" t="s">
        <v>87</v>
      </c>
      <c r="F166" s="5" t="s">
        <v>226</v>
      </c>
      <c r="G166" s="5">
        <v>2</v>
      </c>
      <c r="H166" s="5" t="s">
        <v>388</v>
      </c>
    </row>
    <row r="167" spans="1:8" x14ac:dyDescent="0.25">
      <c r="A167" s="4">
        <v>44287</v>
      </c>
      <c r="B167" s="5" t="s">
        <v>39</v>
      </c>
      <c r="C167" s="5" t="s">
        <v>67</v>
      </c>
      <c r="D167" s="5" t="s">
        <v>73</v>
      </c>
      <c r="E167" s="5" t="s">
        <v>76</v>
      </c>
      <c r="F167" s="5" t="s">
        <v>227</v>
      </c>
      <c r="G167" s="5">
        <v>0.5</v>
      </c>
      <c r="H167" s="5" t="s">
        <v>388</v>
      </c>
    </row>
    <row r="168" spans="1:8" x14ac:dyDescent="0.25">
      <c r="A168" s="4">
        <v>44287</v>
      </c>
      <c r="B168" s="5" t="s">
        <v>33</v>
      </c>
      <c r="C168" s="5" t="s">
        <v>63</v>
      </c>
      <c r="D168" s="5" t="s">
        <v>73</v>
      </c>
      <c r="E168" s="5" t="s">
        <v>77</v>
      </c>
      <c r="F168" s="5" t="s">
        <v>228</v>
      </c>
      <c r="G168" s="5">
        <v>0.75</v>
      </c>
      <c r="H168" s="5" t="s">
        <v>388</v>
      </c>
    </row>
    <row r="169" spans="1:8" x14ac:dyDescent="0.25">
      <c r="A169" s="4">
        <v>44287</v>
      </c>
      <c r="B169" s="5" t="s">
        <v>39</v>
      </c>
      <c r="C169" s="5" t="s">
        <v>67</v>
      </c>
      <c r="D169" s="5" t="s">
        <v>73</v>
      </c>
      <c r="E169" s="5" t="s">
        <v>79</v>
      </c>
      <c r="F169" s="5" t="s">
        <v>225</v>
      </c>
      <c r="G169" s="5">
        <v>1</v>
      </c>
      <c r="H169" s="5" t="s">
        <v>388</v>
      </c>
    </row>
    <row r="170" spans="1:8" x14ac:dyDescent="0.25">
      <c r="A170" s="4">
        <v>44287</v>
      </c>
      <c r="B170" s="5" t="s">
        <v>33</v>
      </c>
      <c r="C170" s="5" t="s">
        <v>63</v>
      </c>
      <c r="D170" s="5" t="s">
        <v>73</v>
      </c>
      <c r="E170" s="5" t="s">
        <v>77</v>
      </c>
      <c r="F170" s="5" t="s">
        <v>229</v>
      </c>
      <c r="G170" s="5">
        <v>0.5</v>
      </c>
      <c r="H170" s="5" t="s">
        <v>388</v>
      </c>
    </row>
    <row r="171" spans="1:8" x14ac:dyDescent="0.25">
      <c r="A171" s="4">
        <v>44287</v>
      </c>
      <c r="B171" s="5" t="s">
        <v>36</v>
      </c>
      <c r="C171" s="5" t="s">
        <v>65</v>
      </c>
      <c r="D171" s="5" t="s">
        <v>74</v>
      </c>
      <c r="E171" s="5" t="s">
        <v>84</v>
      </c>
      <c r="F171" s="5" t="s">
        <v>230</v>
      </c>
      <c r="G171" s="5">
        <v>1</v>
      </c>
      <c r="H171" s="5" t="s">
        <v>389</v>
      </c>
    </row>
    <row r="172" spans="1:8" x14ac:dyDescent="0.25">
      <c r="A172" s="4">
        <v>44287</v>
      </c>
      <c r="B172" s="5" t="s">
        <v>36</v>
      </c>
      <c r="C172" s="5" t="s">
        <v>65</v>
      </c>
      <c r="D172" s="5" t="s">
        <v>74</v>
      </c>
      <c r="E172" s="5" t="s">
        <v>84</v>
      </c>
      <c r="F172" s="5" t="s">
        <v>231</v>
      </c>
      <c r="G172" s="5">
        <v>1</v>
      </c>
      <c r="H172" s="5" t="s">
        <v>388</v>
      </c>
    </row>
    <row r="173" spans="1:8" x14ac:dyDescent="0.25">
      <c r="A173" s="4">
        <v>44287</v>
      </c>
      <c r="B173" s="5" t="s">
        <v>36</v>
      </c>
      <c r="C173" s="5" t="s">
        <v>65</v>
      </c>
      <c r="D173" s="5" t="s">
        <v>74</v>
      </c>
      <c r="E173" s="5" t="s">
        <v>84</v>
      </c>
      <c r="F173" s="5" t="s">
        <v>232</v>
      </c>
      <c r="G173" s="5">
        <v>1</v>
      </c>
      <c r="H173" s="5" t="s">
        <v>388</v>
      </c>
    </row>
    <row r="174" spans="1:8" x14ac:dyDescent="0.25">
      <c r="A174" s="4">
        <v>44287</v>
      </c>
      <c r="B174" s="5" t="s">
        <v>36</v>
      </c>
      <c r="C174" s="5" t="s">
        <v>65</v>
      </c>
      <c r="D174" s="5" t="s">
        <v>74</v>
      </c>
      <c r="E174" s="5" t="s">
        <v>84</v>
      </c>
      <c r="F174" s="5" t="s">
        <v>233</v>
      </c>
      <c r="G174" s="5">
        <v>1</v>
      </c>
      <c r="H174" s="5" t="s">
        <v>388</v>
      </c>
    </row>
    <row r="175" spans="1:8" x14ac:dyDescent="0.25">
      <c r="A175" s="4">
        <v>44287</v>
      </c>
      <c r="B175" s="5" t="s">
        <v>36</v>
      </c>
      <c r="C175" s="5" t="s">
        <v>65</v>
      </c>
      <c r="D175" s="5" t="s">
        <v>74</v>
      </c>
      <c r="E175" s="5" t="s">
        <v>84</v>
      </c>
      <c r="F175" s="5" t="s">
        <v>234</v>
      </c>
      <c r="G175" s="5">
        <v>1</v>
      </c>
      <c r="H175" s="5" t="s">
        <v>388</v>
      </c>
    </row>
    <row r="176" spans="1:8" x14ac:dyDescent="0.25">
      <c r="A176" s="4">
        <v>44287</v>
      </c>
      <c r="B176" s="5" t="s">
        <v>36</v>
      </c>
      <c r="C176" s="5" t="s">
        <v>65</v>
      </c>
      <c r="D176" s="5" t="s">
        <v>74</v>
      </c>
      <c r="E176" s="5" t="s">
        <v>84</v>
      </c>
      <c r="F176" s="5" t="s">
        <v>235</v>
      </c>
      <c r="G176" s="5">
        <v>1</v>
      </c>
      <c r="H176" s="5" t="s">
        <v>388</v>
      </c>
    </row>
    <row r="177" spans="1:8" x14ac:dyDescent="0.25">
      <c r="A177" s="4">
        <v>44287</v>
      </c>
      <c r="B177" s="5" t="s">
        <v>36</v>
      </c>
      <c r="C177" s="5" t="s">
        <v>65</v>
      </c>
      <c r="D177" s="5" t="s">
        <v>73</v>
      </c>
      <c r="E177" s="5" t="s">
        <v>87</v>
      </c>
      <c r="F177" s="5" t="s">
        <v>236</v>
      </c>
      <c r="G177" s="5">
        <v>1</v>
      </c>
      <c r="H177" s="5" t="s">
        <v>388</v>
      </c>
    </row>
    <row r="178" spans="1:8" x14ac:dyDescent="0.25">
      <c r="A178" s="4">
        <v>44287</v>
      </c>
      <c r="B178" s="5" t="s">
        <v>36</v>
      </c>
      <c r="C178" s="5" t="s">
        <v>65</v>
      </c>
      <c r="D178" s="5" t="s">
        <v>73</v>
      </c>
      <c r="E178" s="5" t="s">
        <v>79</v>
      </c>
      <c r="F178" s="5" t="s">
        <v>237</v>
      </c>
      <c r="G178" s="5">
        <v>1</v>
      </c>
      <c r="H178" s="5" t="s">
        <v>388</v>
      </c>
    </row>
    <row r="179" spans="1:8" x14ac:dyDescent="0.25">
      <c r="A179" s="4">
        <v>44287</v>
      </c>
      <c r="B179" s="5" t="s">
        <v>33</v>
      </c>
      <c r="C179" s="5" t="s">
        <v>63</v>
      </c>
      <c r="D179" s="5" t="s">
        <v>73</v>
      </c>
      <c r="E179" s="5" t="s">
        <v>79</v>
      </c>
      <c r="F179" s="5" t="s">
        <v>238</v>
      </c>
      <c r="G179" s="5">
        <v>1.5</v>
      </c>
      <c r="H179" s="5" t="s">
        <v>388</v>
      </c>
    </row>
    <row r="180" spans="1:8" x14ac:dyDescent="0.25">
      <c r="A180" s="4">
        <v>44287</v>
      </c>
      <c r="B180" s="5" t="s">
        <v>33</v>
      </c>
      <c r="C180" s="5" t="s">
        <v>63</v>
      </c>
      <c r="D180" s="5" t="s">
        <v>73</v>
      </c>
      <c r="E180" s="5" t="s">
        <v>79</v>
      </c>
      <c r="F180" s="5" t="s">
        <v>239</v>
      </c>
      <c r="G180" s="5">
        <v>0.75</v>
      </c>
      <c r="H180" s="5" t="s">
        <v>388</v>
      </c>
    </row>
    <row r="181" spans="1:8" x14ac:dyDescent="0.25">
      <c r="A181" s="4">
        <v>44287</v>
      </c>
      <c r="B181" s="5" t="s">
        <v>37</v>
      </c>
      <c r="C181" s="5" t="s">
        <v>66</v>
      </c>
      <c r="D181" s="5" t="s">
        <v>72</v>
      </c>
      <c r="E181" s="5" t="s">
        <v>78</v>
      </c>
      <c r="F181" s="5" t="s">
        <v>78</v>
      </c>
      <c r="G181" s="5">
        <v>1</v>
      </c>
      <c r="H181" s="5" t="s">
        <v>388</v>
      </c>
    </row>
    <row r="182" spans="1:8" x14ac:dyDescent="0.25">
      <c r="A182" s="4">
        <v>44287</v>
      </c>
      <c r="B182" s="5" t="s">
        <v>39</v>
      </c>
      <c r="C182" s="5" t="s">
        <v>67</v>
      </c>
      <c r="D182" s="5" t="s">
        <v>73</v>
      </c>
      <c r="E182" s="5" t="s">
        <v>76</v>
      </c>
      <c r="F182" s="5" t="s">
        <v>240</v>
      </c>
      <c r="G182" s="5">
        <v>0.5</v>
      </c>
      <c r="H182" s="5" t="s">
        <v>388</v>
      </c>
    </row>
    <row r="183" spans="1:8" x14ac:dyDescent="0.25">
      <c r="A183" s="4">
        <v>44287</v>
      </c>
      <c r="B183" s="5" t="s">
        <v>42</v>
      </c>
      <c r="C183" s="5" t="s">
        <v>63</v>
      </c>
      <c r="D183" s="5" t="s">
        <v>74</v>
      </c>
      <c r="E183" s="5" t="s">
        <v>84</v>
      </c>
      <c r="F183" s="5" t="s">
        <v>241</v>
      </c>
      <c r="G183" s="5">
        <v>0.5</v>
      </c>
      <c r="H183" s="5" t="s">
        <v>388</v>
      </c>
    </row>
    <row r="184" spans="1:8" x14ac:dyDescent="0.25">
      <c r="A184" s="4">
        <v>44287</v>
      </c>
      <c r="B184" s="5" t="s">
        <v>35</v>
      </c>
      <c r="C184" s="5" t="s">
        <v>64</v>
      </c>
      <c r="D184" s="5" t="s">
        <v>72</v>
      </c>
      <c r="E184" s="5" t="s">
        <v>80</v>
      </c>
      <c r="F184" s="5" t="s">
        <v>242</v>
      </c>
      <c r="G184" s="5">
        <v>2</v>
      </c>
      <c r="H184" s="5" t="s">
        <v>388</v>
      </c>
    </row>
    <row r="185" spans="1:8" x14ac:dyDescent="0.25">
      <c r="A185" s="4">
        <v>44287</v>
      </c>
      <c r="B185" s="5" t="s">
        <v>42</v>
      </c>
      <c r="C185" s="5" t="s">
        <v>63</v>
      </c>
      <c r="D185" s="5" t="s">
        <v>73</v>
      </c>
      <c r="E185" s="5" t="s">
        <v>87</v>
      </c>
      <c r="F185" s="5" t="s">
        <v>243</v>
      </c>
      <c r="G185" s="5">
        <v>0.5</v>
      </c>
      <c r="H185" s="5" t="s">
        <v>388</v>
      </c>
    </row>
    <row r="186" spans="1:8" x14ac:dyDescent="0.25">
      <c r="A186" s="4">
        <v>44287</v>
      </c>
      <c r="B186" s="5" t="s">
        <v>42</v>
      </c>
      <c r="C186" s="5" t="s">
        <v>63</v>
      </c>
      <c r="D186" s="5" t="s">
        <v>73</v>
      </c>
      <c r="E186" s="5" t="s">
        <v>77</v>
      </c>
      <c r="F186" s="5" t="s">
        <v>244</v>
      </c>
      <c r="G186" s="5">
        <v>0.5</v>
      </c>
      <c r="H186" s="5" t="s">
        <v>388</v>
      </c>
    </row>
    <row r="187" spans="1:8" x14ac:dyDescent="0.25">
      <c r="A187" s="4">
        <v>44287</v>
      </c>
      <c r="B187" s="5" t="s">
        <v>42</v>
      </c>
      <c r="C187" s="5" t="s">
        <v>63</v>
      </c>
      <c r="D187" s="5" t="s">
        <v>73</v>
      </c>
      <c r="E187" s="5" t="s">
        <v>79</v>
      </c>
      <c r="F187" s="5" t="s">
        <v>245</v>
      </c>
      <c r="G187" s="5">
        <v>2</v>
      </c>
      <c r="H187" s="5" t="s">
        <v>388</v>
      </c>
    </row>
    <row r="188" spans="1:8" x14ac:dyDescent="0.25">
      <c r="A188" s="4">
        <v>44287</v>
      </c>
      <c r="B188" s="5" t="s">
        <v>42</v>
      </c>
      <c r="C188" s="5" t="s">
        <v>63</v>
      </c>
      <c r="D188" s="5" t="s">
        <v>73</v>
      </c>
      <c r="E188" s="5" t="s">
        <v>79</v>
      </c>
      <c r="F188" s="5" t="s">
        <v>246</v>
      </c>
      <c r="G188" s="5">
        <v>0.5</v>
      </c>
      <c r="H188" s="5" t="s">
        <v>388</v>
      </c>
    </row>
    <row r="189" spans="1:8" x14ac:dyDescent="0.25">
      <c r="A189" s="4">
        <v>44287</v>
      </c>
      <c r="B189" s="5" t="s">
        <v>42</v>
      </c>
      <c r="C189" s="5" t="s">
        <v>63</v>
      </c>
      <c r="D189" s="5" t="s">
        <v>73</v>
      </c>
      <c r="E189" s="5" t="s">
        <v>79</v>
      </c>
      <c r="F189" s="5" t="s">
        <v>247</v>
      </c>
      <c r="G189" s="5">
        <v>1</v>
      </c>
      <c r="H189" s="5" t="s">
        <v>388</v>
      </c>
    </row>
    <row r="190" spans="1:8" x14ac:dyDescent="0.25">
      <c r="A190" s="4">
        <v>44287</v>
      </c>
      <c r="B190" s="5" t="s">
        <v>42</v>
      </c>
      <c r="C190" s="5" t="s">
        <v>63</v>
      </c>
      <c r="D190" s="5" t="s">
        <v>74</v>
      </c>
      <c r="E190" s="5" t="s">
        <v>84</v>
      </c>
      <c r="F190" s="5" t="s">
        <v>248</v>
      </c>
      <c r="G190" s="5">
        <v>0.5</v>
      </c>
      <c r="H190" s="5" t="s">
        <v>388</v>
      </c>
    </row>
    <row r="191" spans="1:8" x14ac:dyDescent="0.25">
      <c r="A191" s="4">
        <v>44287</v>
      </c>
      <c r="B191" s="5" t="s">
        <v>42</v>
      </c>
      <c r="C191" s="5" t="s">
        <v>63</v>
      </c>
      <c r="D191" s="5" t="s">
        <v>74</v>
      </c>
      <c r="E191" s="5" t="s">
        <v>84</v>
      </c>
      <c r="F191" s="5" t="s">
        <v>249</v>
      </c>
      <c r="G191" s="5">
        <v>0.5</v>
      </c>
      <c r="H191" s="5" t="s">
        <v>388</v>
      </c>
    </row>
    <row r="192" spans="1:8" x14ac:dyDescent="0.25">
      <c r="A192" s="4">
        <v>44287</v>
      </c>
      <c r="B192" s="5" t="s">
        <v>42</v>
      </c>
      <c r="C192" s="5" t="s">
        <v>63</v>
      </c>
      <c r="D192" s="5" t="s">
        <v>74</v>
      </c>
      <c r="E192" s="5" t="s">
        <v>84</v>
      </c>
      <c r="F192" s="5" t="s">
        <v>250</v>
      </c>
      <c r="G192" s="5">
        <v>0.5</v>
      </c>
      <c r="H192" s="5" t="s">
        <v>388</v>
      </c>
    </row>
    <row r="193" spans="1:8" x14ac:dyDescent="0.25">
      <c r="A193" s="4">
        <v>44287</v>
      </c>
      <c r="B193" s="5" t="s">
        <v>43</v>
      </c>
      <c r="C193" s="5" t="s">
        <v>66</v>
      </c>
      <c r="D193" s="5" t="s">
        <v>75</v>
      </c>
      <c r="E193" s="5" t="s">
        <v>86</v>
      </c>
      <c r="F193" s="5" t="s">
        <v>251</v>
      </c>
      <c r="G193" s="5">
        <v>8</v>
      </c>
      <c r="H193" s="5" t="s">
        <v>388</v>
      </c>
    </row>
    <row r="194" spans="1:8" x14ac:dyDescent="0.25">
      <c r="A194" s="4">
        <v>44287</v>
      </c>
      <c r="B194" s="5" t="s">
        <v>43</v>
      </c>
      <c r="C194" s="5" t="s">
        <v>66</v>
      </c>
      <c r="D194" s="5" t="s">
        <v>73</v>
      </c>
      <c r="E194" s="5" t="s">
        <v>79</v>
      </c>
      <c r="F194" s="5" t="s">
        <v>252</v>
      </c>
      <c r="G194" s="5">
        <v>0.5</v>
      </c>
      <c r="H194" s="5" t="s">
        <v>388</v>
      </c>
    </row>
    <row r="195" spans="1:8" x14ac:dyDescent="0.25">
      <c r="A195" s="4">
        <v>44287</v>
      </c>
      <c r="B195" s="5" t="s">
        <v>43</v>
      </c>
      <c r="C195" s="5" t="s">
        <v>66</v>
      </c>
      <c r="D195" s="5" t="s">
        <v>72</v>
      </c>
      <c r="E195" s="5" t="s">
        <v>78</v>
      </c>
      <c r="F195" s="5" t="s">
        <v>78</v>
      </c>
      <c r="G195" s="5">
        <v>0.5</v>
      </c>
      <c r="H195" s="5" t="s">
        <v>388</v>
      </c>
    </row>
    <row r="196" spans="1:8" x14ac:dyDescent="0.25">
      <c r="A196" s="4">
        <v>44287</v>
      </c>
      <c r="B196" s="5" t="s">
        <v>42</v>
      </c>
      <c r="C196" s="5" t="s">
        <v>63</v>
      </c>
      <c r="D196" s="5" t="s">
        <v>74</v>
      </c>
      <c r="E196" s="5" t="s">
        <v>84</v>
      </c>
      <c r="F196" s="5" t="s">
        <v>253</v>
      </c>
      <c r="G196" s="5">
        <v>0.5</v>
      </c>
      <c r="H196" s="5" t="s">
        <v>388</v>
      </c>
    </row>
    <row r="197" spans="1:8" x14ac:dyDescent="0.25">
      <c r="A197" s="4">
        <v>44287</v>
      </c>
      <c r="B197" s="5" t="s">
        <v>42</v>
      </c>
      <c r="C197" s="5" t="s">
        <v>63</v>
      </c>
      <c r="D197" s="5" t="s">
        <v>74</v>
      </c>
      <c r="E197" s="5" t="s">
        <v>84</v>
      </c>
      <c r="F197" s="5" t="s">
        <v>254</v>
      </c>
      <c r="G197" s="5">
        <v>0.5</v>
      </c>
      <c r="H197" s="5" t="s">
        <v>388</v>
      </c>
    </row>
    <row r="198" spans="1:8" x14ac:dyDescent="0.25">
      <c r="A198" s="4">
        <v>44287</v>
      </c>
      <c r="B198" s="5" t="s">
        <v>42</v>
      </c>
      <c r="C198" s="5" t="s">
        <v>63</v>
      </c>
      <c r="D198" s="5" t="s">
        <v>74</v>
      </c>
      <c r="E198" s="5" t="s">
        <v>84</v>
      </c>
      <c r="F198" s="5" t="s">
        <v>255</v>
      </c>
      <c r="G198" s="5">
        <v>0.5</v>
      </c>
      <c r="H198" s="5" t="s">
        <v>388</v>
      </c>
    </row>
    <row r="199" spans="1:8" x14ac:dyDescent="0.25">
      <c r="A199" s="4">
        <v>44287</v>
      </c>
      <c r="B199" s="5" t="s">
        <v>42</v>
      </c>
      <c r="C199" s="5" t="s">
        <v>63</v>
      </c>
      <c r="D199" s="5" t="s">
        <v>74</v>
      </c>
      <c r="E199" s="5" t="s">
        <v>84</v>
      </c>
      <c r="F199" s="5" t="s">
        <v>256</v>
      </c>
      <c r="G199" s="5">
        <v>0.5</v>
      </c>
      <c r="H199" s="5" t="s">
        <v>388</v>
      </c>
    </row>
    <row r="200" spans="1:8" x14ac:dyDescent="0.25">
      <c r="A200" s="4">
        <v>44287</v>
      </c>
      <c r="B200" s="5" t="s">
        <v>42</v>
      </c>
      <c r="C200" s="5" t="s">
        <v>63</v>
      </c>
      <c r="D200" s="5" t="s">
        <v>74</v>
      </c>
      <c r="E200" s="5" t="s">
        <v>84</v>
      </c>
      <c r="F200" s="5" t="s">
        <v>257</v>
      </c>
      <c r="G200" s="5">
        <v>0.5</v>
      </c>
      <c r="H200" s="5" t="s">
        <v>388</v>
      </c>
    </row>
    <row r="201" spans="1:8" x14ac:dyDescent="0.25">
      <c r="A201" s="4">
        <v>44288</v>
      </c>
      <c r="B201" s="5" t="s">
        <v>32</v>
      </c>
      <c r="C201" s="5" t="s">
        <v>62</v>
      </c>
      <c r="D201" s="5" t="s">
        <v>72</v>
      </c>
      <c r="E201" s="5" t="s">
        <v>83</v>
      </c>
      <c r="F201" s="5" t="s">
        <v>258</v>
      </c>
      <c r="G201" s="5">
        <v>9</v>
      </c>
      <c r="H201" s="5" t="s">
        <v>388</v>
      </c>
    </row>
    <row r="202" spans="1:8" x14ac:dyDescent="0.25">
      <c r="A202" s="4">
        <v>44288</v>
      </c>
      <c r="B202" s="5" t="s">
        <v>37</v>
      </c>
      <c r="C202" s="5" t="s">
        <v>66</v>
      </c>
      <c r="D202" s="5" t="s">
        <v>72</v>
      </c>
      <c r="E202" s="5" t="s">
        <v>83</v>
      </c>
      <c r="F202" s="5" t="s">
        <v>176</v>
      </c>
      <c r="G202" s="5">
        <v>9</v>
      </c>
      <c r="H202" s="5" t="s">
        <v>388</v>
      </c>
    </row>
    <row r="203" spans="1:8" x14ac:dyDescent="0.25">
      <c r="A203" s="4">
        <v>44288</v>
      </c>
      <c r="B203" s="5" t="s">
        <v>42</v>
      </c>
      <c r="C203" s="5" t="s">
        <v>63</v>
      </c>
      <c r="D203" s="5" t="s">
        <v>72</v>
      </c>
      <c r="E203" s="5" t="s">
        <v>83</v>
      </c>
      <c r="F203" s="5" t="s">
        <v>176</v>
      </c>
      <c r="G203" s="5">
        <v>9</v>
      </c>
      <c r="H203" s="5" t="s">
        <v>388</v>
      </c>
    </row>
    <row r="204" spans="1:8" x14ac:dyDescent="0.25">
      <c r="A204" s="4">
        <v>44288</v>
      </c>
      <c r="B204" s="5" t="s">
        <v>40</v>
      </c>
      <c r="C204" s="5" t="s">
        <v>63</v>
      </c>
      <c r="D204" s="5" t="s">
        <v>72</v>
      </c>
      <c r="E204" s="5" t="s">
        <v>83</v>
      </c>
      <c r="F204" s="5" t="s">
        <v>259</v>
      </c>
      <c r="G204" s="5">
        <v>0</v>
      </c>
      <c r="H204" s="5" t="s">
        <v>388</v>
      </c>
    </row>
    <row r="205" spans="1:8" x14ac:dyDescent="0.25">
      <c r="A205" s="4">
        <v>44288</v>
      </c>
      <c r="B205" s="5" t="s">
        <v>34</v>
      </c>
      <c r="C205" s="5" t="s">
        <v>63</v>
      </c>
      <c r="D205" s="5" t="s">
        <v>72</v>
      </c>
      <c r="E205" s="5" t="s">
        <v>83</v>
      </c>
      <c r="F205" s="5" t="s">
        <v>260</v>
      </c>
      <c r="G205" s="5">
        <v>9</v>
      </c>
      <c r="H205" s="5" t="s">
        <v>388</v>
      </c>
    </row>
    <row r="206" spans="1:8" x14ac:dyDescent="0.25">
      <c r="A206" s="4">
        <v>44288</v>
      </c>
      <c r="B206" s="5" t="s">
        <v>41</v>
      </c>
      <c r="C206" s="5" t="s">
        <v>67</v>
      </c>
      <c r="D206" s="5" t="s">
        <v>73</v>
      </c>
      <c r="E206" s="5" t="s">
        <v>79</v>
      </c>
      <c r="F206" s="5" t="s">
        <v>225</v>
      </c>
      <c r="G206" s="5">
        <v>1</v>
      </c>
      <c r="H206" s="5" t="s">
        <v>388</v>
      </c>
    </row>
    <row r="207" spans="1:8" x14ac:dyDescent="0.25">
      <c r="A207" s="4">
        <v>44288</v>
      </c>
      <c r="B207" s="5" t="s">
        <v>43</v>
      </c>
      <c r="C207" s="5" t="s">
        <v>66</v>
      </c>
      <c r="D207" s="5" t="s">
        <v>72</v>
      </c>
      <c r="E207" s="5" t="s">
        <v>78</v>
      </c>
      <c r="F207" s="5" t="s">
        <v>176</v>
      </c>
      <c r="G207" s="5">
        <v>9</v>
      </c>
      <c r="H207" s="5" t="s">
        <v>388</v>
      </c>
    </row>
    <row r="208" spans="1:8" x14ac:dyDescent="0.25">
      <c r="A208" s="4">
        <v>44288</v>
      </c>
      <c r="B208" s="5" t="s">
        <v>33</v>
      </c>
      <c r="C208" s="5" t="s">
        <v>63</v>
      </c>
      <c r="D208" s="5" t="s">
        <v>73</v>
      </c>
      <c r="E208" s="5" t="s">
        <v>79</v>
      </c>
      <c r="F208" s="5" t="s">
        <v>261</v>
      </c>
      <c r="G208" s="5">
        <v>9</v>
      </c>
      <c r="H208" s="5" t="s">
        <v>388</v>
      </c>
    </row>
    <row r="209" spans="1:8" x14ac:dyDescent="0.25">
      <c r="A209" s="4">
        <v>44288</v>
      </c>
      <c r="B209" s="5" t="s">
        <v>38</v>
      </c>
      <c r="C209" s="5" t="s">
        <v>63</v>
      </c>
      <c r="D209" s="5" t="s">
        <v>72</v>
      </c>
      <c r="E209" s="5" t="s">
        <v>83</v>
      </c>
      <c r="F209" s="5" t="s">
        <v>258</v>
      </c>
      <c r="G209" s="5">
        <v>9</v>
      </c>
      <c r="H209" s="5" t="s">
        <v>388</v>
      </c>
    </row>
    <row r="210" spans="1:8" x14ac:dyDescent="0.25">
      <c r="A210" s="4">
        <v>44289</v>
      </c>
      <c r="B210" s="5" t="s">
        <v>36</v>
      </c>
      <c r="C210" s="5" t="s">
        <v>65</v>
      </c>
      <c r="D210" s="5" t="s">
        <v>73</v>
      </c>
      <c r="E210" s="5" t="s">
        <v>79</v>
      </c>
      <c r="F210" s="5" t="s">
        <v>262</v>
      </c>
      <c r="G210" s="5">
        <v>1</v>
      </c>
      <c r="H210" s="5" t="s">
        <v>389</v>
      </c>
    </row>
    <row r="211" spans="1:8" x14ac:dyDescent="0.25">
      <c r="A211" s="4">
        <v>44291</v>
      </c>
      <c r="B211" s="5" t="s">
        <v>42</v>
      </c>
      <c r="C211" s="5" t="s">
        <v>63</v>
      </c>
      <c r="D211" s="5" t="s">
        <v>74</v>
      </c>
      <c r="E211" s="5" t="s">
        <v>84</v>
      </c>
      <c r="F211" s="5" t="s">
        <v>263</v>
      </c>
      <c r="G211" s="5">
        <v>0.5</v>
      </c>
      <c r="H211" s="5" t="s">
        <v>388</v>
      </c>
    </row>
    <row r="212" spans="1:8" x14ac:dyDescent="0.25">
      <c r="A212" s="4">
        <v>44291</v>
      </c>
      <c r="B212" s="5" t="s">
        <v>42</v>
      </c>
      <c r="C212" s="5" t="s">
        <v>63</v>
      </c>
      <c r="D212" s="5" t="s">
        <v>74</v>
      </c>
      <c r="E212" s="5" t="s">
        <v>84</v>
      </c>
      <c r="F212" s="5" t="s">
        <v>253</v>
      </c>
      <c r="G212" s="5">
        <v>0.5</v>
      </c>
      <c r="H212" s="5" t="s">
        <v>388</v>
      </c>
    </row>
    <row r="213" spans="1:8" x14ac:dyDescent="0.25">
      <c r="A213" s="4">
        <v>44291</v>
      </c>
      <c r="B213" s="5" t="s">
        <v>42</v>
      </c>
      <c r="C213" s="5" t="s">
        <v>63</v>
      </c>
      <c r="D213" s="5" t="s">
        <v>74</v>
      </c>
      <c r="E213" s="5" t="s">
        <v>84</v>
      </c>
      <c r="F213" s="5" t="s">
        <v>248</v>
      </c>
      <c r="G213" s="5">
        <v>0.5</v>
      </c>
      <c r="H213" s="5" t="s">
        <v>388</v>
      </c>
    </row>
    <row r="214" spans="1:8" x14ac:dyDescent="0.25">
      <c r="A214" s="4">
        <v>44291</v>
      </c>
      <c r="B214" s="5" t="s">
        <v>42</v>
      </c>
      <c r="C214" s="5" t="s">
        <v>63</v>
      </c>
      <c r="D214" s="5" t="s">
        <v>74</v>
      </c>
      <c r="E214" s="5" t="s">
        <v>84</v>
      </c>
      <c r="F214" s="5" t="s">
        <v>264</v>
      </c>
      <c r="G214" s="5">
        <v>0.5</v>
      </c>
      <c r="H214" s="5" t="s">
        <v>388</v>
      </c>
    </row>
    <row r="215" spans="1:8" x14ac:dyDescent="0.25">
      <c r="A215" s="4">
        <v>44291</v>
      </c>
      <c r="B215" s="5" t="s">
        <v>42</v>
      </c>
      <c r="C215" s="5" t="s">
        <v>63</v>
      </c>
      <c r="D215" s="5" t="s">
        <v>74</v>
      </c>
      <c r="E215" s="5" t="s">
        <v>84</v>
      </c>
      <c r="F215" s="5" t="s">
        <v>257</v>
      </c>
      <c r="G215" s="5">
        <v>0.5</v>
      </c>
      <c r="H215" s="5" t="s">
        <v>388</v>
      </c>
    </row>
    <row r="216" spans="1:8" x14ac:dyDescent="0.25">
      <c r="A216" s="4">
        <v>44291</v>
      </c>
      <c r="B216" s="5" t="s">
        <v>42</v>
      </c>
      <c r="C216" s="5" t="s">
        <v>63</v>
      </c>
      <c r="D216" s="5" t="s">
        <v>74</v>
      </c>
      <c r="E216" s="5" t="s">
        <v>82</v>
      </c>
      <c r="F216" s="5" t="s">
        <v>265</v>
      </c>
      <c r="G216" s="5">
        <v>0.5</v>
      </c>
      <c r="H216" s="5" t="s">
        <v>388</v>
      </c>
    </row>
    <row r="217" spans="1:8" x14ac:dyDescent="0.25">
      <c r="A217" s="4">
        <v>44291</v>
      </c>
      <c r="B217" s="5" t="s">
        <v>43</v>
      </c>
      <c r="C217" s="5" t="s">
        <v>66</v>
      </c>
      <c r="D217" s="5" t="s">
        <v>75</v>
      </c>
      <c r="E217" s="5" t="s">
        <v>86</v>
      </c>
      <c r="F217" s="5" t="s">
        <v>251</v>
      </c>
      <c r="G217" s="5">
        <v>6</v>
      </c>
      <c r="H217" s="5" t="s">
        <v>388</v>
      </c>
    </row>
    <row r="218" spans="1:8" x14ac:dyDescent="0.25">
      <c r="A218" s="4">
        <v>44291</v>
      </c>
      <c r="B218" s="5" t="s">
        <v>42</v>
      </c>
      <c r="C218" s="5" t="s">
        <v>63</v>
      </c>
      <c r="D218" s="5" t="s">
        <v>74</v>
      </c>
      <c r="E218" s="5" t="s">
        <v>84</v>
      </c>
      <c r="F218" s="5" t="s">
        <v>266</v>
      </c>
      <c r="G218" s="5">
        <v>0.5</v>
      </c>
      <c r="H218" s="5" t="s">
        <v>388</v>
      </c>
    </row>
    <row r="219" spans="1:8" x14ac:dyDescent="0.25">
      <c r="A219" s="4">
        <v>44291</v>
      </c>
      <c r="B219" s="5" t="s">
        <v>42</v>
      </c>
      <c r="C219" s="5" t="s">
        <v>63</v>
      </c>
      <c r="D219" s="5" t="s">
        <v>73</v>
      </c>
      <c r="E219" s="5" t="s">
        <v>79</v>
      </c>
      <c r="F219" s="5" t="s">
        <v>267</v>
      </c>
      <c r="G219" s="5">
        <v>0.5</v>
      </c>
      <c r="H219" s="5" t="s">
        <v>388</v>
      </c>
    </row>
    <row r="220" spans="1:8" x14ac:dyDescent="0.25">
      <c r="A220" s="4">
        <v>44291</v>
      </c>
      <c r="B220" s="5" t="s">
        <v>43</v>
      </c>
      <c r="C220" s="5" t="s">
        <v>66</v>
      </c>
      <c r="D220" s="5" t="s">
        <v>72</v>
      </c>
      <c r="E220" s="5" t="s">
        <v>78</v>
      </c>
      <c r="F220" s="5" t="s">
        <v>78</v>
      </c>
      <c r="G220" s="5">
        <v>1</v>
      </c>
      <c r="H220" s="5" t="s">
        <v>388</v>
      </c>
    </row>
    <row r="221" spans="1:8" x14ac:dyDescent="0.25">
      <c r="A221" s="4">
        <v>44291</v>
      </c>
      <c r="B221" s="5" t="s">
        <v>43</v>
      </c>
      <c r="C221" s="5" t="s">
        <v>66</v>
      </c>
      <c r="D221" s="5" t="s">
        <v>72</v>
      </c>
      <c r="E221" s="5" t="s">
        <v>90</v>
      </c>
      <c r="F221" s="5" t="s">
        <v>268</v>
      </c>
      <c r="G221" s="5">
        <v>1</v>
      </c>
      <c r="H221" s="5" t="s">
        <v>388</v>
      </c>
    </row>
    <row r="222" spans="1:8" x14ac:dyDescent="0.25">
      <c r="A222" s="4">
        <v>44291</v>
      </c>
      <c r="B222" s="5" t="s">
        <v>42</v>
      </c>
      <c r="C222" s="5" t="s">
        <v>63</v>
      </c>
      <c r="D222" s="5" t="s">
        <v>73</v>
      </c>
      <c r="E222" s="5" t="s">
        <v>79</v>
      </c>
      <c r="F222" s="5" t="s">
        <v>247</v>
      </c>
      <c r="G222" s="5">
        <v>1</v>
      </c>
      <c r="H222" s="5" t="s">
        <v>388</v>
      </c>
    </row>
    <row r="223" spans="1:8" x14ac:dyDescent="0.25">
      <c r="A223" s="4">
        <v>44291</v>
      </c>
      <c r="B223" s="5" t="s">
        <v>42</v>
      </c>
      <c r="C223" s="5" t="s">
        <v>63</v>
      </c>
      <c r="D223" s="5" t="s">
        <v>73</v>
      </c>
      <c r="E223" s="5" t="s">
        <v>79</v>
      </c>
      <c r="F223" s="5" t="s">
        <v>269</v>
      </c>
      <c r="G223" s="5">
        <v>2</v>
      </c>
      <c r="H223" s="5" t="s">
        <v>388</v>
      </c>
    </row>
    <row r="224" spans="1:8" x14ac:dyDescent="0.25">
      <c r="A224" s="4">
        <v>44291</v>
      </c>
      <c r="B224" s="5" t="s">
        <v>39</v>
      </c>
      <c r="C224" s="5" t="s">
        <v>67</v>
      </c>
      <c r="D224" s="5" t="s">
        <v>73</v>
      </c>
      <c r="E224" s="5" t="s">
        <v>76</v>
      </c>
      <c r="F224" s="5" t="s">
        <v>227</v>
      </c>
      <c r="G224" s="5">
        <v>0.5</v>
      </c>
      <c r="H224" s="5" t="s">
        <v>388</v>
      </c>
    </row>
    <row r="225" spans="1:8" x14ac:dyDescent="0.25">
      <c r="A225" s="4">
        <v>44291</v>
      </c>
      <c r="B225" s="5" t="s">
        <v>39</v>
      </c>
      <c r="C225" s="5" t="s">
        <v>67</v>
      </c>
      <c r="D225" s="5" t="s">
        <v>73</v>
      </c>
      <c r="E225" s="5" t="s">
        <v>76</v>
      </c>
      <c r="F225" s="5" t="s">
        <v>240</v>
      </c>
      <c r="G225" s="5">
        <v>0.5</v>
      </c>
      <c r="H225" s="5" t="s">
        <v>388</v>
      </c>
    </row>
    <row r="226" spans="1:8" x14ac:dyDescent="0.25">
      <c r="A226" s="4">
        <v>44291</v>
      </c>
      <c r="B226" s="5" t="s">
        <v>39</v>
      </c>
      <c r="C226" s="5" t="s">
        <v>67</v>
      </c>
      <c r="D226" s="5" t="s">
        <v>73</v>
      </c>
      <c r="E226" s="5" t="s">
        <v>77</v>
      </c>
      <c r="F226" s="5" t="s">
        <v>171</v>
      </c>
      <c r="G226" s="5">
        <v>0.5</v>
      </c>
      <c r="H226" s="5" t="s">
        <v>388</v>
      </c>
    </row>
    <row r="227" spans="1:8" x14ac:dyDescent="0.25">
      <c r="A227" s="4">
        <v>44291</v>
      </c>
      <c r="B227" s="5" t="s">
        <v>39</v>
      </c>
      <c r="C227" s="5" t="s">
        <v>67</v>
      </c>
      <c r="D227" s="5" t="s">
        <v>73</v>
      </c>
      <c r="E227" s="5" t="s">
        <v>87</v>
      </c>
      <c r="F227" s="5" t="s">
        <v>187</v>
      </c>
      <c r="G227" s="5">
        <v>1</v>
      </c>
      <c r="H227" s="5" t="s">
        <v>388</v>
      </c>
    </row>
    <row r="228" spans="1:8" x14ac:dyDescent="0.25">
      <c r="A228" s="4">
        <v>44291</v>
      </c>
      <c r="B228" s="5" t="s">
        <v>42</v>
      </c>
      <c r="C228" s="5" t="s">
        <v>63</v>
      </c>
      <c r="D228" s="5" t="s">
        <v>74</v>
      </c>
      <c r="E228" s="5" t="s">
        <v>84</v>
      </c>
      <c r="F228" s="5" t="s">
        <v>270</v>
      </c>
      <c r="G228" s="5">
        <v>0.25</v>
      </c>
      <c r="H228" s="5" t="s">
        <v>388</v>
      </c>
    </row>
    <row r="229" spans="1:8" x14ac:dyDescent="0.25">
      <c r="A229" s="4">
        <v>44291</v>
      </c>
      <c r="B229" s="5" t="s">
        <v>43</v>
      </c>
      <c r="C229" s="5" t="s">
        <v>66</v>
      </c>
      <c r="D229" s="5" t="s">
        <v>73</v>
      </c>
      <c r="E229" s="5" t="s">
        <v>79</v>
      </c>
      <c r="F229" s="5" t="s">
        <v>271</v>
      </c>
      <c r="G229" s="5">
        <v>1</v>
      </c>
      <c r="H229" s="5" t="s">
        <v>388</v>
      </c>
    </row>
    <row r="230" spans="1:8" x14ac:dyDescent="0.25">
      <c r="A230" s="4">
        <v>44291</v>
      </c>
      <c r="B230" s="5" t="s">
        <v>42</v>
      </c>
      <c r="C230" s="5" t="s">
        <v>63</v>
      </c>
      <c r="D230" s="5" t="s">
        <v>71</v>
      </c>
      <c r="E230" s="5" t="s">
        <v>89</v>
      </c>
      <c r="F230" s="5" t="s">
        <v>272</v>
      </c>
      <c r="G230" s="5">
        <v>0.5</v>
      </c>
      <c r="H230" s="5" t="s">
        <v>388</v>
      </c>
    </row>
    <row r="231" spans="1:8" x14ac:dyDescent="0.25">
      <c r="A231" s="4">
        <v>44291</v>
      </c>
      <c r="B231" s="5" t="s">
        <v>40</v>
      </c>
      <c r="C231" s="5" t="s">
        <v>63</v>
      </c>
      <c r="D231" s="5" t="s">
        <v>73</v>
      </c>
      <c r="E231" s="5" t="s">
        <v>79</v>
      </c>
      <c r="F231" s="5" t="s">
        <v>219</v>
      </c>
      <c r="G231" s="5">
        <v>1</v>
      </c>
      <c r="H231" s="5" t="s">
        <v>388</v>
      </c>
    </row>
    <row r="232" spans="1:8" x14ac:dyDescent="0.25">
      <c r="A232" s="4">
        <v>44291</v>
      </c>
      <c r="B232" s="5" t="s">
        <v>44</v>
      </c>
      <c r="C232" s="5" t="s">
        <v>66</v>
      </c>
      <c r="D232" s="5" t="s">
        <v>72</v>
      </c>
      <c r="E232" s="5" t="s">
        <v>80</v>
      </c>
      <c r="F232" s="5" t="s">
        <v>273</v>
      </c>
      <c r="G232" s="5">
        <v>1</v>
      </c>
      <c r="H232" s="5" t="s">
        <v>388</v>
      </c>
    </row>
    <row r="233" spans="1:8" x14ac:dyDescent="0.25">
      <c r="A233" s="4">
        <v>44291</v>
      </c>
      <c r="B233" s="5" t="s">
        <v>44</v>
      </c>
      <c r="C233" s="5" t="s">
        <v>66</v>
      </c>
      <c r="D233" s="5" t="s">
        <v>72</v>
      </c>
      <c r="E233" s="5" t="s">
        <v>78</v>
      </c>
      <c r="F233" s="5" t="s">
        <v>103</v>
      </c>
      <c r="G233" s="5">
        <v>0.5</v>
      </c>
      <c r="H233" s="5" t="s">
        <v>388</v>
      </c>
    </row>
    <row r="234" spans="1:8" x14ac:dyDescent="0.25">
      <c r="A234" s="4">
        <v>44291</v>
      </c>
      <c r="B234" s="5" t="s">
        <v>44</v>
      </c>
      <c r="C234" s="5" t="s">
        <v>66</v>
      </c>
      <c r="D234" s="5" t="s">
        <v>73</v>
      </c>
      <c r="E234" s="5" t="s">
        <v>79</v>
      </c>
      <c r="F234" s="5" t="s">
        <v>274</v>
      </c>
      <c r="G234" s="5">
        <v>0.5</v>
      </c>
      <c r="H234" s="5" t="s">
        <v>388</v>
      </c>
    </row>
    <row r="235" spans="1:8" x14ac:dyDescent="0.25">
      <c r="A235" s="4">
        <v>44291</v>
      </c>
      <c r="B235" s="5" t="s">
        <v>44</v>
      </c>
      <c r="C235" s="5" t="s">
        <v>66</v>
      </c>
      <c r="D235" s="5" t="s">
        <v>75</v>
      </c>
      <c r="E235" s="5" t="s">
        <v>87</v>
      </c>
      <c r="F235" s="5" t="s">
        <v>275</v>
      </c>
      <c r="G235" s="5">
        <v>6</v>
      </c>
      <c r="H235" s="5" t="s">
        <v>388</v>
      </c>
    </row>
    <row r="236" spans="1:8" x14ac:dyDescent="0.25">
      <c r="A236" s="4">
        <v>44291</v>
      </c>
      <c r="B236" s="5" t="s">
        <v>44</v>
      </c>
      <c r="C236" s="5" t="s">
        <v>66</v>
      </c>
      <c r="D236" s="5" t="s">
        <v>73</v>
      </c>
      <c r="E236" s="5" t="s">
        <v>79</v>
      </c>
      <c r="F236" s="5" t="s">
        <v>276</v>
      </c>
      <c r="G236" s="5">
        <v>1</v>
      </c>
      <c r="H236" s="5" t="s">
        <v>388</v>
      </c>
    </row>
    <row r="237" spans="1:8" x14ac:dyDescent="0.25">
      <c r="A237" s="4">
        <v>44291</v>
      </c>
      <c r="B237" s="5" t="s">
        <v>37</v>
      </c>
      <c r="C237" s="5" t="s">
        <v>66</v>
      </c>
      <c r="D237" s="5" t="s">
        <v>72</v>
      </c>
      <c r="E237" s="5" t="s">
        <v>78</v>
      </c>
      <c r="F237" s="5" t="s">
        <v>78</v>
      </c>
      <c r="G237" s="5">
        <v>1</v>
      </c>
      <c r="H237" s="5" t="s">
        <v>388</v>
      </c>
    </row>
    <row r="238" spans="1:8" x14ac:dyDescent="0.25">
      <c r="A238" s="4">
        <v>44291</v>
      </c>
      <c r="B238" s="5" t="s">
        <v>37</v>
      </c>
      <c r="C238" s="5" t="s">
        <v>66</v>
      </c>
      <c r="D238" s="5" t="s">
        <v>73</v>
      </c>
      <c r="E238" s="5" t="s">
        <v>79</v>
      </c>
      <c r="F238" s="5" t="s">
        <v>213</v>
      </c>
      <c r="G238" s="5">
        <v>2</v>
      </c>
      <c r="H238" s="5" t="s">
        <v>388</v>
      </c>
    </row>
    <row r="239" spans="1:8" x14ac:dyDescent="0.25">
      <c r="A239" s="4">
        <v>44291</v>
      </c>
      <c r="B239" s="5" t="s">
        <v>37</v>
      </c>
      <c r="C239" s="5" t="s">
        <v>66</v>
      </c>
      <c r="D239" s="5" t="s">
        <v>75</v>
      </c>
      <c r="E239" s="5" t="s">
        <v>86</v>
      </c>
      <c r="F239" s="5" t="s">
        <v>211</v>
      </c>
      <c r="G239" s="5">
        <v>6</v>
      </c>
      <c r="H239" s="5" t="s">
        <v>388</v>
      </c>
    </row>
    <row r="240" spans="1:8" x14ac:dyDescent="0.25">
      <c r="A240" s="4">
        <v>44291</v>
      </c>
      <c r="B240" s="5" t="s">
        <v>39</v>
      </c>
      <c r="C240" s="5" t="s">
        <v>67</v>
      </c>
      <c r="D240" s="5" t="s">
        <v>74</v>
      </c>
      <c r="E240" s="5" t="s">
        <v>84</v>
      </c>
      <c r="F240" s="5" t="s">
        <v>277</v>
      </c>
      <c r="G240" s="5">
        <v>2</v>
      </c>
      <c r="H240" s="5" t="s">
        <v>388</v>
      </c>
    </row>
    <row r="241" spans="1:8" x14ac:dyDescent="0.25">
      <c r="A241" s="4">
        <v>44291</v>
      </c>
      <c r="B241" s="5" t="s">
        <v>40</v>
      </c>
      <c r="C241" s="5" t="s">
        <v>63</v>
      </c>
      <c r="D241" s="5" t="s">
        <v>71</v>
      </c>
      <c r="E241" s="5" t="s">
        <v>86</v>
      </c>
      <c r="F241" s="5" t="s">
        <v>224</v>
      </c>
      <c r="G241" s="5">
        <v>1</v>
      </c>
      <c r="H241" s="5" t="s">
        <v>388</v>
      </c>
    </row>
    <row r="242" spans="1:8" x14ac:dyDescent="0.25">
      <c r="A242" s="4">
        <v>44291</v>
      </c>
      <c r="B242" s="5" t="s">
        <v>40</v>
      </c>
      <c r="C242" s="5" t="s">
        <v>63</v>
      </c>
      <c r="D242" s="5" t="s">
        <v>73</v>
      </c>
      <c r="E242" s="5" t="s">
        <v>79</v>
      </c>
      <c r="F242" s="5" t="s">
        <v>223</v>
      </c>
      <c r="G242" s="5">
        <v>1</v>
      </c>
      <c r="H242" s="5" t="s">
        <v>388</v>
      </c>
    </row>
    <row r="243" spans="1:8" x14ac:dyDescent="0.25">
      <c r="A243" s="4">
        <v>44291</v>
      </c>
      <c r="B243" s="5" t="s">
        <v>40</v>
      </c>
      <c r="C243" s="5" t="s">
        <v>63</v>
      </c>
      <c r="D243" s="5" t="s">
        <v>73</v>
      </c>
      <c r="E243" s="5" t="s">
        <v>79</v>
      </c>
      <c r="F243" s="5" t="s">
        <v>278</v>
      </c>
      <c r="G243" s="5">
        <v>1</v>
      </c>
      <c r="H243" s="5" t="s">
        <v>388</v>
      </c>
    </row>
    <row r="244" spans="1:8" x14ac:dyDescent="0.25">
      <c r="A244" s="4">
        <v>44291</v>
      </c>
      <c r="B244" s="5" t="s">
        <v>36</v>
      </c>
      <c r="C244" s="5" t="s">
        <v>65</v>
      </c>
      <c r="D244" s="5" t="s">
        <v>74</v>
      </c>
      <c r="E244" s="5" t="s">
        <v>84</v>
      </c>
      <c r="F244" s="5" t="s">
        <v>279</v>
      </c>
      <c r="G244" s="5">
        <v>2</v>
      </c>
      <c r="H244" s="5" t="s">
        <v>388</v>
      </c>
    </row>
    <row r="245" spans="1:8" x14ac:dyDescent="0.25">
      <c r="A245" s="4">
        <v>44291</v>
      </c>
      <c r="B245" s="5" t="s">
        <v>40</v>
      </c>
      <c r="C245" s="5" t="s">
        <v>63</v>
      </c>
      <c r="D245" s="5" t="s">
        <v>73</v>
      </c>
      <c r="E245" s="5" t="s">
        <v>79</v>
      </c>
      <c r="F245" s="5" t="s">
        <v>220</v>
      </c>
      <c r="G245" s="5">
        <v>0.5</v>
      </c>
      <c r="H245" s="5" t="s">
        <v>388</v>
      </c>
    </row>
    <row r="246" spans="1:8" x14ac:dyDescent="0.25">
      <c r="A246" s="4">
        <v>44291</v>
      </c>
      <c r="B246" s="5" t="s">
        <v>42</v>
      </c>
      <c r="C246" s="5" t="s">
        <v>63</v>
      </c>
      <c r="D246" s="5" t="s">
        <v>74</v>
      </c>
      <c r="E246" s="5" t="s">
        <v>84</v>
      </c>
      <c r="F246" s="5" t="s">
        <v>256</v>
      </c>
      <c r="G246" s="5">
        <v>0.25</v>
      </c>
      <c r="H246" s="5" t="s">
        <v>388</v>
      </c>
    </row>
    <row r="247" spans="1:8" x14ac:dyDescent="0.25">
      <c r="A247" s="4">
        <v>44291</v>
      </c>
      <c r="B247" s="5" t="s">
        <v>40</v>
      </c>
      <c r="C247" s="5" t="s">
        <v>63</v>
      </c>
      <c r="D247" s="5" t="s">
        <v>73</v>
      </c>
      <c r="E247" s="5" t="s">
        <v>77</v>
      </c>
      <c r="F247" s="5" t="s">
        <v>147</v>
      </c>
      <c r="G247" s="5">
        <v>0.5</v>
      </c>
      <c r="H247" s="5" t="s">
        <v>388</v>
      </c>
    </row>
    <row r="248" spans="1:8" x14ac:dyDescent="0.25">
      <c r="A248" s="4">
        <v>44291</v>
      </c>
      <c r="B248" s="5" t="s">
        <v>40</v>
      </c>
      <c r="C248" s="5" t="s">
        <v>63</v>
      </c>
      <c r="D248" s="5" t="s">
        <v>74</v>
      </c>
      <c r="E248" s="5" t="s">
        <v>84</v>
      </c>
      <c r="F248" s="5" t="s">
        <v>218</v>
      </c>
      <c r="G248" s="5">
        <v>2.5</v>
      </c>
      <c r="H248" s="5" t="s">
        <v>388</v>
      </c>
    </row>
    <row r="249" spans="1:8" x14ac:dyDescent="0.25">
      <c r="A249" s="4">
        <v>44291</v>
      </c>
      <c r="B249" s="5" t="s">
        <v>36</v>
      </c>
      <c r="C249" s="5" t="s">
        <v>65</v>
      </c>
      <c r="D249" s="5" t="s">
        <v>74</v>
      </c>
      <c r="E249" s="5" t="s">
        <v>84</v>
      </c>
      <c r="F249" s="5" t="s">
        <v>280</v>
      </c>
      <c r="G249" s="5">
        <v>2</v>
      </c>
      <c r="H249" s="5" t="s">
        <v>388</v>
      </c>
    </row>
    <row r="250" spans="1:8" x14ac:dyDescent="0.25">
      <c r="A250" s="4">
        <v>44291</v>
      </c>
      <c r="B250" s="5" t="s">
        <v>36</v>
      </c>
      <c r="C250" s="5" t="s">
        <v>65</v>
      </c>
      <c r="D250" s="5" t="s">
        <v>74</v>
      </c>
      <c r="E250" s="5" t="s">
        <v>84</v>
      </c>
      <c r="F250" s="5" t="s">
        <v>281</v>
      </c>
      <c r="G250" s="5">
        <v>1</v>
      </c>
      <c r="H250" s="5" t="s">
        <v>388</v>
      </c>
    </row>
    <row r="251" spans="1:8" x14ac:dyDescent="0.25">
      <c r="A251" s="4">
        <v>44291</v>
      </c>
      <c r="B251" s="5" t="s">
        <v>36</v>
      </c>
      <c r="C251" s="5" t="s">
        <v>65</v>
      </c>
      <c r="D251" s="5" t="s">
        <v>74</v>
      </c>
      <c r="E251" s="5" t="s">
        <v>84</v>
      </c>
      <c r="F251" s="5" t="s">
        <v>282</v>
      </c>
      <c r="G251" s="5">
        <v>1</v>
      </c>
      <c r="H251" s="5" t="s">
        <v>388</v>
      </c>
    </row>
    <row r="252" spans="1:8" x14ac:dyDescent="0.25">
      <c r="A252" s="4">
        <v>44291</v>
      </c>
      <c r="B252" s="5" t="s">
        <v>36</v>
      </c>
      <c r="C252" s="5" t="s">
        <v>65</v>
      </c>
      <c r="D252" s="5" t="s">
        <v>74</v>
      </c>
      <c r="E252" s="5" t="s">
        <v>84</v>
      </c>
      <c r="F252" s="5" t="s">
        <v>283</v>
      </c>
      <c r="G252" s="5">
        <v>1</v>
      </c>
      <c r="H252" s="5" t="s">
        <v>388</v>
      </c>
    </row>
    <row r="253" spans="1:8" x14ac:dyDescent="0.25">
      <c r="A253" s="4">
        <v>44291</v>
      </c>
      <c r="B253" s="5" t="s">
        <v>36</v>
      </c>
      <c r="C253" s="5" t="s">
        <v>65</v>
      </c>
      <c r="D253" s="5" t="s">
        <v>73</v>
      </c>
      <c r="E253" s="5" t="s">
        <v>87</v>
      </c>
      <c r="F253" s="5" t="s">
        <v>284</v>
      </c>
      <c r="G253" s="5">
        <v>2</v>
      </c>
      <c r="H253" s="5" t="s">
        <v>388</v>
      </c>
    </row>
    <row r="254" spans="1:8" x14ac:dyDescent="0.25">
      <c r="A254" s="4">
        <v>44291</v>
      </c>
      <c r="B254" s="5" t="s">
        <v>36</v>
      </c>
      <c r="C254" s="5" t="s">
        <v>65</v>
      </c>
      <c r="D254" s="5" t="s">
        <v>74</v>
      </c>
      <c r="E254" s="5" t="s">
        <v>84</v>
      </c>
      <c r="F254" s="5" t="s">
        <v>285</v>
      </c>
      <c r="G254" s="5">
        <v>1</v>
      </c>
      <c r="H254" s="5" t="s">
        <v>388</v>
      </c>
    </row>
    <row r="255" spans="1:8" x14ac:dyDescent="0.25">
      <c r="A255" s="4">
        <v>44291</v>
      </c>
      <c r="B255" s="5" t="s">
        <v>42</v>
      </c>
      <c r="C255" s="5" t="s">
        <v>63</v>
      </c>
      <c r="D255" s="5" t="s">
        <v>74</v>
      </c>
      <c r="E255" s="5" t="s">
        <v>84</v>
      </c>
      <c r="F255" s="5" t="s">
        <v>286</v>
      </c>
      <c r="G255" s="5">
        <v>0.25</v>
      </c>
      <c r="H255" s="5" t="s">
        <v>388</v>
      </c>
    </row>
    <row r="256" spans="1:8" x14ac:dyDescent="0.25">
      <c r="A256" s="4">
        <v>44291</v>
      </c>
      <c r="B256" s="5" t="s">
        <v>42</v>
      </c>
      <c r="C256" s="5" t="s">
        <v>63</v>
      </c>
      <c r="D256" s="5" t="s">
        <v>74</v>
      </c>
      <c r="E256" s="5" t="s">
        <v>84</v>
      </c>
      <c r="F256" s="5" t="s">
        <v>287</v>
      </c>
      <c r="G256" s="5">
        <v>0.25</v>
      </c>
      <c r="H256" s="5" t="s">
        <v>388</v>
      </c>
    </row>
    <row r="257" spans="1:8" x14ac:dyDescent="0.25">
      <c r="A257" s="4">
        <v>44291</v>
      </c>
      <c r="B257" s="5" t="s">
        <v>42</v>
      </c>
      <c r="C257" s="5" t="s">
        <v>63</v>
      </c>
      <c r="D257" s="5" t="s">
        <v>74</v>
      </c>
      <c r="E257" s="5" t="s">
        <v>84</v>
      </c>
      <c r="F257" s="5" t="s">
        <v>288</v>
      </c>
      <c r="G257" s="5">
        <v>0.25</v>
      </c>
      <c r="H257" s="5" t="s">
        <v>388</v>
      </c>
    </row>
    <row r="258" spans="1:8" x14ac:dyDescent="0.25">
      <c r="A258" s="4">
        <v>44291</v>
      </c>
      <c r="B258" s="5" t="s">
        <v>42</v>
      </c>
      <c r="C258" s="5" t="s">
        <v>63</v>
      </c>
      <c r="D258" s="5" t="s">
        <v>74</v>
      </c>
      <c r="E258" s="5" t="s">
        <v>84</v>
      </c>
      <c r="F258" s="5" t="s">
        <v>289</v>
      </c>
      <c r="G258" s="5">
        <v>0.25</v>
      </c>
      <c r="H258" s="5" t="s">
        <v>388</v>
      </c>
    </row>
    <row r="259" spans="1:8" x14ac:dyDescent="0.25">
      <c r="A259" s="4">
        <v>44291</v>
      </c>
      <c r="B259" s="5" t="s">
        <v>40</v>
      </c>
      <c r="C259" s="5" t="s">
        <v>63</v>
      </c>
      <c r="D259" s="5" t="s">
        <v>73</v>
      </c>
      <c r="E259" s="5" t="s">
        <v>79</v>
      </c>
      <c r="F259" s="5" t="s">
        <v>221</v>
      </c>
      <c r="G259" s="5">
        <v>1.5</v>
      </c>
      <c r="H259" s="5" t="s">
        <v>388</v>
      </c>
    </row>
    <row r="260" spans="1:8" x14ac:dyDescent="0.25">
      <c r="A260" s="4">
        <v>44287</v>
      </c>
      <c r="B260" s="5" t="s">
        <v>45</v>
      </c>
      <c r="C260" s="5" t="s">
        <v>68</v>
      </c>
      <c r="D260" s="5" t="s">
        <v>74</v>
      </c>
      <c r="E260" s="5" t="s">
        <v>84</v>
      </c>
      <c r="F260" s="5" t="s">
        <v>290</v>
      </c>
      <c r="G260" s="5">
        <v>4</v>
      </c>
      <c r="H260" s="5" t="s">
        <v>388</v>
      </c>
    </row>
    <row r="261" spans="1:8" x14ac:dyDescent="0.25">
      <c r="A261" s="4">
        <v>44287</v>
      </c>
      <c r="B261" s="5" t="s">
        <v>45</v>
      </c>
      <c r="C261" s="5" t="s">
        <v>68</v>
      </c>
      <c r="D261" s="5" t="s">
        <v>74</v>
      </c>
      <c r="E261" s="5" t="s">
        <v>84</v>
      </c>
      <c r="F261" s="5" t="s">
        <v>290</v>
      </c>
      <c r="G261" s="5">
        <v>4</v>
      </c>
      <c r="H261" s="5" t="s">
        <v>388</v>
      </c>
    </row>
    <row r="262" spans="1:8" x14ac:dyDescent="0.25">
      <c r="A262" s="4">
        <v>44287</v>
      </c>
      <c r="B262" s="5" t="s">
        <v>46</v>
      </c>
      <c r="C262" s="5" t="s">
        <v>68</v>
      </c>
      <c r="D262" s="5" t="s">
        <v>74</v>
      </c>
      <c r="E262" s="5" t="s">
        <v>84</v>
      </c>
      <c r="F262" s="5" t="s">
        <v>291</v>
      </c>
      <c r="G262" s="5">
        <v>0.5</v>
      </c>
      <c r="H262" s="5" t="s">
        <v>388</v>
      </c>
    </row>
    <row r="263" spans="1:8" x14ac:dyDescent="0.25">
      <c r="A263" s="4">
        <v>44287</v>
      </c>
      <c r="B263" s="5" t="s">
        <v>47</v>
      </c>
      <c r="C263" s="5" t="s">
        <v>69</v>
      </c>
      <c r="D263" s="5" t="s">
        <v>75</v>
      </c>
      <c r="E263" s="5" t="s">
        <v>86</v>
      </c>
      <c r="F263" s="5" t="s">
        <v>292</v>
      </c>
      <c r="G263" s="5">
        <v>2</v>
      </c>
      <c r="H263" s="5" t="s">
        <v>388</v>
      </c>
    </row>
    <row r="264" spans="1:8" x14ac:dyDescent="0.25">
      <c r="A264" s="4">
        <v>44287</v>
      </c>
      <c r="B264" s="5" t="s">
        <v>47</v>
      </c>
      <c r="C264" s="5" t="s">
        <v>69</v>
      </c>
      <c r="D264" s="5" t="s">
        <v>73</v>
      </c>
      <c r="E264" s="5" t="s">
        <v>79</v>
      </c>
      <c r="F264" s="5" t="s">
        <v>293</v>
      </c>
      <c r="G264" s="5">
        <v>1</v>
      </c>
      <c r="H264" s="5" t="s">
        <v>388</v>
      </c>
    </row>
    <row r="265" spans="1:8" x14ac:dyDescent="0.25">
      <c r="A265" s="4">
        <v>44287</v>
      </c>
      <c r="B265" s="5" t="s">
        <v>48</v>
      </c>
      <c r="C265" s="5" t="s">
        <v>70</v>
      </c>
      <c r="D265" s="5" t="s">
        <v>75</v>
      </c>
      <c r="E265" s="5" t="s">
        <v>86</v>
      </c>
      <c r="F265" s="5" t="s">
        <v>294</v>
      </c>
      <c r="G265" s="5">
        <v>2.25</v>
      </c>
      <c r="H265" s="5" t="s">
        <v>388</v>
      </c>
    </row>
    <row r="266" spans="1:8" x14ac:dyDescent="0.25">
      <c r="A266" s="4">
        <v>44287</v>
      </c>
      <c r="B266" s="5" t="s">
        <v>45</v>
      </c>
      <c r="C266" s="5" t="s">
        <v>68</v>
      </c>
      <c r="D266" s="5" t="s">
        <v>73</v>
      </c>
      <c r="E266" s="5" t="s">
        <v>77</v>
      </c>
      <c r="F266" s="5" t="s">
        <v>295</v>
      </c>
      <c r="G266" s="5">
        <v>1</v>
      </c>
      <c r="H266" s="5" t="s">
        <v>388</v>
      </c>
    </row>
    <row r="267" spans="1:8" x14ac:dyDescent="0.25">
      <c r="A267" s="4">
        <v>44287</v>
      </c>
      <c r="B267" s="5" t="s">
        <v>45</v>
      </c>
      <c r="C267" s="5" t="s">
        <v>68</v>
      </c>
      <c r="D267" s="5" t="s">
        <v>74</v>
      </c>
      <c r="E267" s="5" t="s">
        <v>84</v>
      </c>
      <c r="F267" s="5" t="s">
        <v>296</v>
      </c>
      <c r="G267" s="5">
        <v>1</v>
      </c>
      <c r="H267" s="5" t="s">
        <v>388</v>
      </c>
    </row>
    <row r="268" spans="1:8" x14ac:dyDescent="0.25">
      <c r="A268" s="4">
        <v>44287</v>
      </c>
      <c r="B268" s="5" t="s">
        <v>47</v>
      </c>
      <c r="C268" s="5" t="s">
        <v>69</v>
      </c>
      <c r="D268" s="5" t="s">
        <v>72</v>
      </c>
      <c r="E268" s="5" t="s">
        <v>90</v>
      </c>
      <c r="F268" s="5" t="s">
        <v>297</v>
      </c>
      <c r="G268" s="5">
        <v>1</v>
      </c>
      <c r="H268" s="5" t="s">
        <v>388</v>
      </c>
    </row>
    <row r="269" spans="1:8" x14ac:dyDescent="0.25">
      <c r="A269" s="4">
        <v>44287</v>
      </c>
      <c r="B269" s="5" t="s">
        <v>45</v>
      </c>
      <c r="C269" s="5" t="s">
        <v>68</v>
      </c>
      <c r="D269" s="5" t="s">
        <v>73</v>
      </c>
      <c r="E269" s="5" t="s">
        <v>79</v>
      </c>
      <c r="F269" s="5" t="s">
        <v>115</v>
      </c>
      <c r="G269" s="5">
        <v>2</v>
      </c>
      <c r="H269" s="5" t="s">
        <v>388</v>
      </c>
    </row>
    <row r="270" spans="1:8" x14ac:dyDescent="0.25">
      <c r="A270" s="4">
        <v>44287</v>
      </c>
      <c r="B270" s="5" t="s">
        <v>47</v>
      </c>
      <c r="C270" s="5" t="s">
        <v>69</v>
      </c>
      <c r="D270" s="5" t="s">
        <v>74</v>
      </c>
      <c r="E270" s="5" t="s">
        <v>84</v>
      </c>
      <c r="F270" s="5" t="s">
        <v>298</v>
      </c>
      <c r="G270" s="5">
        <v>2</v>
      </c>
      <c r="H270" s="5" t="s">
        <v>388</v>
      </c>
    </row>
    <row r="271" spans="1:8" x14ac:dyDescent="0.25">
      <c r="A271" s="4">
        <v>44287</v>
      </c>
      <c r="B271" s="5" t="s">
        <v>46</v>
      </c>
      <c r="C271" s="5" t="s">
        <v>68</v>
      </c>
      <c r="D271" s="5" t="s">
        <v>74</v>
      </c>
      <c r="E271" s="5" t="s">
        <v>82</v>
      </c>
      <c r="F271" s="5" t="s">
        <v>299</v>
      </c>
      <c r="G271" s="5">
        <v>1</v>
      </c>
      <c r="H271" s="5" t="s">
        <v>388</v>
      </c>
    </row>
    <row r="272" spans="1:8" x14ac:dyDescent="0.25">
      <c r="A272" s="4">
        <v>44287</v>
      </c>
      <c r="B272" s="5" t="s">
        <v>46</v>
      </c>
      <c r="C272" s="5" t="s">
        <v>68</v>
      </c>
      <c r="D272" s="5" t="s">
        <v>73</v>
      </c>
      <c r="E272" s="5" t="s">
        <v>87</v>
      </c>
      <c r="F272" s="5" t="s">
        <v>133</v>
      </c>
      <c r="G272" s="5">
        <v>1</v>
      </c>
      <c r="H272" s="5" t="s">
        <v>388</v>
      </c>
    </row>
    <row r="273" spans="1:8" x14ac:dyDescent="0.25">
      <c r="A273" s="4">
        <v>44287</v>
      </c>
      <c r="B273" s="5" t="s">
        <v>46</v>
      </c>
      <c r="C273" s="5" t="s">
        <v>68</v>
      </c>
      <c r="D273" s="5" t="s">
        <v>73</v>
      </c>
      <c r="E273" s="5" t="s">
        <v>87</v>
      </c>
      <c r="F273" s="5" t="s">
        <v>300</v>
      </c>
      <c r="G273" s="5">
        <v>0.5</v>
      </c>
      <c r="H273" s="5" t="s">
        <v>388</v>
      </c>
    </row>
    <row r="274" spans="1:8" x14ac:dyDescent="0.25">
      <c r="A274" s="4">
        <v>44287</v>
      </c>
      <c r="B274" s="5" t="s">
        <v>46</v>
      </c>
      <c r="C274" s="5" t="s">
        <v>68</v>
      </c>
      <c r="D274" s="5" t="s">
        <v>73</v>
      </c>
      <c r="E274" s="5" t="s">
        <v>76</v>
      </c>
      <c r="F274" s="5" t="s">
        <v>301</v>
      </c>
      <c r="G274" s="5">
        <v>0.5</v>
      </c>
      <c r="H274" s="5" t="s">
        <v>388</v>
      </c>
    </row>
    <row r="275" spans="1:8" x14ac:dyDescent="0.25">
      <c r="A275" s="4">
        <v>44287</v>
      </c>
      <c r="B275" s="5" t="s">
        <v>46</v>
      </c>
      <c r="C275" s="5" t="s">
        <v>68</v>
      </c>
      <c r="D275" s="5" t="s">
        <v>73</v>
      </c>
      <c r="E275" s="5" t="s">
        <v>77</v>
      </c>
      <c r="F275" s="5" t="s">
        <v>302</v>
      </c>
      <c r="G275" s="5">
        <v>1</v>
      </c>
      <c r="H275" s="5" t="s">
        <v>388</v>
      </c>
    </row>
    <row r="276" spans="1:8" x14ac:dyDescent="0.25">
      <c r="A276" s="4">
        <v>44287</v>
      </c>
      <c r="B276" s="5" t="s">
        <v>46</v>
      </c>
      <c r="C276" s="5" t="s">
        <v>68</v>
      </c>
      <c r="D276" s="5" t="s">
        <v>74</v>
      </c>
      <c r="E276" s="5" t="s">
        <v>84</v>
      </c>
      <c r="F276" s="5" t="s">
        <v>303</v>
      </c>
      <c r="G276" s="5">
        <v>2</v>
      </c>
      <c r="H276" s="5" t="s">
        <v>388</v>
      </c>
    </row>
    <row r="277" spans="1:8" x14ac:dyDescent="0.25">
      <c r="A277" s="4">
        <v>44287</v>
      </c>
      <c r="B277" s="5" t="s">
        <v>45</v>
      </c>
      <c r="C277" s="5" t="s">
        <v>68</v>
      </c>
      <c r="D277" s="5" t="s">
        <v>74</v>
      </c>
      <c r="E277" s="5" t="s">
        <v>82</v>
      </c>
      <c r="F277" s="5" t="s">
        <v>304</v>
      </c>
      <c r="G277" s="5">
        <v>1</v>
      </c>
      <c r="H277" s="5" t="s">
        <v>388</v>
      </c>
    </row>
    <row r="278" spans="1:8" x14ac:dyDescent="0.25">
      <c r="A278" s="4">
        <v>44287</v>
      </c>
      <c r="B278" s="5" t="s">
        <v>49</v>
      </c>
      <c r="C278" s="5" t="s">
        <v>69</v>
      </c>
      <c r="D278" s="5" t="s">
        <v>73</v>
      </c>
      <c r="E278" s="5" t="s">
        <v>91</v>
      </c>
      <c r="F278" s="5" t="s">
        <v>305</v>
      </c>
      <c r="G278" s="5">
        <v>2</v>
      </c>
      <c r="H278" s="5" t="s">
        <v>388</v>
      </c>
    </row>
    <row r="279" spans="1:8" x14ac:dyDescent="0.25">
      <c r="A279" s="4">
        <v>44287</v>
      </c>
      <c r="B279" s="5" t="s">
        <v>50</v>
      </c>
      <c r="C279" s="5" t="s">
        <v>69</v>
      </c>
      <c r="D279" s="5" t="s">
        <v>72</v>
      </c>
      <c r="E279" s="5" t="s">
        <v>90</v>
      </c>
      <c r="F279" s="5" t="s">
        <v>306</v>
      </c>
      <c r="G279" s="5">
        <v>2</v>
      </c>
      <c r="H279" s="5" t="s">
        <v>388</v>
      </c>
    </row>
    <row r="280" spans="1:8" x14ac:dyDescent="0.25">
      <c r="A280" s="4">
        <v>44287</v>
      </c>
      <c r="B280" s="5" t="s">
        <v>51</v>
      </c>
      <c r="C280" s="5" t="s">
        <v>69</v>
      </c>
      <c r="D280" s="5" t="s">
        <v>73</v>
      </c>
      <c r="E280" s="5" t="s">
        <v>79</v>
      </c>
      <c r="F280" s="5" t="s">
        <v>115</v>
      </c>
      <c r="G280" s="5">
        <v>2.5</v>
      </c>
      <c r="H280" s="5" t="s">
        <v>388</v>
      </c>
    </row>
    <row r="281" spans="1:8" x14ac:dyDescent="0.25">
      <c r="A281" s="4">
        <v>44287</v>
      </c>
      <c r="B281" s="5" t="s">
        <v>51</v>
      </c>
      <c r="C281" s="5" t="s">
        <v>69</v>
      </c>
      <c r="D281" s="5" t="s">
        <v>74</v>
      </c>
      <c r="E281" s="5" t="s">
        <v>84</v>
      </c>
      <c r="F281" s="5" t="s">
        <v>307</v>
      </c>
      <c r="G281" s="5">
        <v>2</v>
      </c>
      <c r="H281" s="5" t="s">
        <v>388</v>
      </c>
    </row>
    <row r="282" spans="1:8" x14ac:dyDescent="0.25">
      <c r="A282" s="4">
        <v>44287</v>
      </c>
      <c r="B282" s="5" t="s">
        <v>51</v>
      </c>
      <c r="C282" s="5" t="s">
        <v>69</v>
      </c>
      <c r="D282" s="5" t="s">
        <v>71</v>
      </c>
      <c r="E282" s="5" t="s">
        <v>86</v>
      </c>
      <c r="F282" s="5" t="s">
        <v>308</v>
      </c>
      <c r="G282" s="5">
        <v>2.5</v>
      </c>
      <c r="H282" s="5" t="s">
        <v>388</v>
      </c>
    </row>
    <row r="283" spans="1:8" x14ac:dyDescent="0.25">
      <c r="A283" s="4">
        <v>44287</v>
      </c>
      <c r="B283" s="5" t="s">
        <v>51</v>
      </c>
      <c r="C283" s="5" t="s">
        <v>69</v>
      </c>
      <c r="D283" s="5" t="s">
        <v>73</v>
      </c>
      <c r="E283" s="5" t="s">
        <v>76</v>
      </c>
      <c r="F283" s="5" t="s">
        <v>309</v>
      </c>
      <c r="G283" s="5">
        <v>1</v>
      </c>
      <c r="H283" s="5" t="s">
        <v>388</v>
      </c>
    </row>
    <row r="284" spans="1:8" x14ac:dyDescent="0.25">
      <c r="A284" s="4">
        <v>44287</v>
      </c>
      <c r="B284" s="5" t="s">
        <v>51</v>
      </c>
      <c r="C284" s="5" t="s">
        <v>69</v>
      </c>
      <c r="D284" s="5" t="s">
        <v>72</v>
      </c>
      <c r="E284" s="5" t="s">
        <v>80</v>
      </c>
      <c r="F284" s="5" t="s">
        <v>310</v>
      </c>
      <c r="G284" s="5">
        <v>1</v>
      </c>
      <c r="H284" s="5" t="s">
        <v>388</v>
      </c>
    </row>
    <row r="285" spans="1:8" x14ac:dyDescent="0.25">
      <c r="A285" s="4">
        <v>44287</v>
      </c>
      <c r="B285" s="5" t="s">
        <v>47</v>
      </c>
      <c r="C285" s="5" t="s">
        <v>69</v>
      </c>
      <c r="D285" s="5" t="s">
        <v>74</v>
      </c>
      <c r="E285" s="5" t="s">
        <v>84</v>
      </c>
      <c r="F285" s="5" t="s">
        <v>311</v>
      </c>
      <c r="G285" s="5">
        <v>2</v>
      </c>
      <c r="H285" s="5" t="s">
        <v>388</v>
      </c>
    </row>
    <row r="286" spans="1:8" x14ac:dyDescent="0.25">
      <c r="A286" s="4">
        <v>44287</v>
      </c>
      <c r="B286" s="5" t="s">
        <v>49</v>
      </c>
      <c r="C286" s="5" t="s">
        <v>69</v>
      </c>
      <c r="D286" s="5" t="s">
        <v>71</v>
      </c>
      <c r="E286" s="5" t="s">
        <v>86</v>
      </c>
      <c r="F286" s="5" t="s">
        <v>312</v>
      </c>
      <c r="G286" s="5">
        <v>4</v>
      </c>
      <c r="H286" s="5" t="s">
        <v>388</v>
      </c>
    </row>
    <row r="287" spans="1:8" x14ac:dyDescent="0.25">
      <c r="A287" s="4">
        <v>44287</v>
      </c>
      <c r="B287" s="5" t="s">
        <v>46</v>
      </c>
      <c r="C287" s="5" t="s">
        <v>68</v>
      </c>
      <c r="D287" s="5" t="s">
        <v>74</v>
      </c>
      <c r="E287" s="5" t="s">
        <v>84</v>
      </c>
      <c r="F287" s="5" t="s">
        <v>313</v>
      </c>
      <c r="G287" s="5">
        <v>1</v>
      </c>
      <c r="H287" s="5" t="s">
        <v>388</v>
      </c>
    </row>
    <row r="288" spans="1:8" x14ac:dyDescent="0.25">
      <c r="A288" s="4">
        <v>44287</v>
      </c>
      <c r="B288" s="5" t="s">
        <v>49</v>
      </c>
      <c r="C288" s="5" t="s">
        <v>69</v>
      </c>
      <c r="D288" s="5" t="s">
        <v>72</v>
      </c>
      <c r="E288" s="5" t="s">
        <v>80</v>
      </c>
      <c r="F288" s="5" t="s">
        <v>314</v>
      </c>
      <c r="G288" s="5">
        <v>2</v>
      </c>
      <c r="H288" s="5" t="s">
        <v>388</v>
      </c>
    </row>
    <row r="289" spans="1:8" x14ac:dyDescent="0.25">
      <c r="A289" s="4">
        <v>44287</v>
      </c>
      <c r="B289" s="5" t="s">
        <v>52</v>
      </c>
      <c r="C289" s="5" t="s">
        <v>69</v>
      </c>
      <c r="D289" s="5" t="s">
        <v>74</v>
      </c>
      <c r="E289" s="5" t="s">
        <v>84</v>
      </c>
      <c r="F289" s="5" t="s">
        <v>315</v>
      </c>
      <c r="G289" s="5">
        <v>1</v>
      </c>
      <c r="H289" s="5" t="s">
        <v>388</v>
      </c>
    </row>
    <row r="290" spans="1:8" x14ac:dyDescent="0.25">
      <c r="A290" s="4">
        <v>44287</v>
      </c>
      <c r="B290" s="5" t="s">
        <v>50</v>
      </c>
      <c r="C290" s="5" t="s">
        <v>69</v>
      </c>
      <c r="D290" s="5" t="s">
        <v>74</v>
      </c>
      <c r="E290" s="5" t="s">
        <v>82</v>
      </c>
      <c r="F290" s="5" t="s">
        <v>316</v>
      </c>
      <c r="G290" s="5">
        <v>2</v>
      </c>
      <c r="H290" s="5" t="s">
        <v>388</v>
      </c>
    </row>
    <row r="291" spans="1:8" x14ac:dyDescent="0.25">
      <c r="A291" s="4">
        <v>44287</v>
      </c>
      <c r="B291" s="5" t="s">
        <v>50</v>
      </c>
      <c r="C291" s="5" t="s">
        <v>69</v>
      </c>
      <c r="D291" s="5" t="s">
        <v>74</v>
      </c>
      <c r="E291" s="5" t="s">
        <v>84</v>
      </c>
      <c r="F291" s="5" t="s">
        <v>317</v>
      </c>
      <c r="G291" s="5">
        <v>1</v>
      </c>
      <c r="H291" s="5" t="s">
        <v>388</v>
      </c>
    </row>
    <row r="292" spans="1:8" x14ac:dyDescent="0.25">
      <c r="A292" s="4">
        <v>44287</v>
      </c>
      <c r="B292" s="5" t="s">
        <v>50</v>
      </c>
      <c r="C292" s="5" t="s">
        <v>69</v>
      </c>
      <c r="D292" s="5" t="s">
        <v>71</v>
      </c>
      <c r="E292" s="5" t="s">
        <v>86</v>
      </c>
      <c r="F292" s="5" t="s">
        <v>318</v>
      </c>
      <c r="G292" s="5">
        <v>4</v>
      </c>
      <c r="H292" s="5" t="s">
        <v>388</v>
      </c>
    </row>
    <row r="293" spans="1:8" x14ac:dyDescent="0.25">
      <c r="A293" s="4">
        <v>44287</v>
      </c>
      <c r="B293" s="5" t="s">
        <v>47</v>
      </c>
      <c r="C293" s="5" t="s">
        <v>69</v>
      </c>
      <c r="D293" s="5" t="s">
        <v>71</v>
      </c>
      <c r="E293" s="5" t="s">
        <v>86</v>
      </c>
      <c r="F293" s="5" t="s">
        <v>312</v>
      </c>
      <c r="G293" s="5">
        <v>1</v>
      </c>
      <c r="H293" s="5" t="s">
        <v>388</v>
      </c>
    </row>
    <row r="294" spans="1:8" x14ac:dyDescent="0.25">
      <c r="A294" s="4">
        <v>44287</v>
      </c>
      <c r="B294" s="5" t="s">
        <v>49</v>
      </c>
      <c r="C294" s="5" t="s">
        <v>69</v>
      </c>
      <c r="D294" s="5" t="s">
        <v>74</v>
      </c>
      <c r="E294" s="5" t="s">
        <v>84</v>
      </c>
      <c r="F294" s="5" t="s">
        <v>319</v>
      </c>
      <c r="G294" s="5">
        <v>1</v>
      </c>
      <c r="H294" s="5" t="s">
        <v>388</v>
      </c>
    </row>
    <row r="295" spans="1:8" x14ac:dyDescent="0.25">
      <c r="A295" s="4">
        <v>44287</v>
      </c>
      <c r="B295" s="5" t="s">
        <v>53</v>
      </c>
      <c r="C295" s="5" t="s">
        <v>69</v>
      </c>
      <c r="D295" s="5" t="s">
        <v>73</v>
      </c>
      <c r="E295" s="5" t="s">
        <v>79</v>
      </c>
      <c r="F295" s="5" t="s">
        <v>160</v>
      </c>
      <c r="G295" s="5">
        <v>1</v>
      </c>
      <c r="H295" s="5" t="s">
        <v>388</v>
      </c>
    </row>
    <row r="296" spans="1:8" x14ac:dyDescent="0.25">
      <c r="A296" s="4">
        <v>44287</v>
      </c>
      <c r="B296" s="5" t="s">
        <v>46</v>
      </c>
      <c r="C296" s="5" t="s">
        <v>68</v>
      </c>
      <c r="D296" s="5" t="s">
        <v>73</v>
      </c>
      <c r="E296" s="5" t="s">
        <v>87</v>
      </c>
      <c r="F296" s="5" t="s">
        <v>320</v>
      </c>
      <c r="G296" s="5">
        <v>1</v>
      </c>
      <c r="H296" s="5" t="s">
        <v>388</v>
      </c>
    </row>
    <row r="297" spans="1:8" x14ac:dyDescent="0.25">
      <c r="A297" s="4">
        <v>44287</v>
      </c>
      <c r="B297" s="5" t="s">
        <v>53</v>
      </c>
      <c r="C297" s="5" t="s">
        <v>69</v>
      </c>
      <c r="D297" s="5" t="s">
        <v>74</v>
      </c>
      <c r="E297" s="5" t="s">
        <v>84</v>
      </c>
      <c r="F297" s="5" t="s">
        <v>319</v>
      </c>
      <c r="G297" s="5">
        <v>2</v>
      </c>
      <c r="H297" s="5" t="s">
        <v>388</v>
      </c>
    </row>
    <row r="298" spans="1:8" x14ac:dyDescent="0.25">
      <c r="A298" s="4">
        <v>44287</v>
      </c>
      <c r="B298" s="5" t="s">
        <v>46</v>
      </c>
      <c r="C298" s="5" t="s">
        <v>68</v>
      </c>
      <c r="D298" s="5" t="s">
        <v>72</v>
      </c>
      <c r="E298" s="5" t="s">
        <v>78</v>
      </c>
      <c r="F298" s="5" t="s">
        <v>116</v>
      </c>
      <c r="G298" s="5">
        <v>0.5</v>
      </c>
      <c r="H298" s="5" t="s">
        <v>388</v>
      </c>
    </row>
    <row r="299" spans="1:8" x14ac:dyDescent="0.25">
      <c r="A299" s="4">
        <v>44287</v>
      </c>
      <c r="B299" s="5" t="s">
        <v>53</v>
      </c>
      <c r="C299" s="5" t="s">
        <v>69</v>
      </c>
      <c r="D299" s="5" t="s">
        <v>73</v>
      </c>
      <c r="E299" s="5" t="s">
        <v>79</v>
      </c>
      <c r="F299" s="5" t="s">
        <v>321</v>
      </c>
      <c r="G299" s="5">
        <v>1</v>
      </c>
      <c r="H299" s="5" t="s">
        <v>388</v>
      </c>
    </row>
    <row r="300" spans="1:8" x14ac:dyDescent="0.25">
      <c r="A300" s="4">
        <v>44287</v>
      </c>
      <c r="B300" s="5" t="s">
        <v>52</v>
      </c>
      <c r="C300" s="5" t="s">
        <v>69</v>
      </c>
      <c r="D300" s="5" t="s">
        <v>74</v>
      </c>
      <c r="E300" s="5" t="s">
        <v>84</v>
      </c>
      <c r="F300" s="5" t="s">
        <v>322</v>
      </c>
      <c r="G300" s="5">
        <v>1</v>
      </c>
      <c r="H300" s="5" t="s">
        <v>388</v>
      </c>
    </row>
    <row r="301" spans="1:8" x14ac:dyDescent="0.25">
      <c r="A301" s="4">
        <v>44287</v>
      </c>
      <c r="B301" s="5" t="s">
        <v>52</v>
      </c>
      <c r="C301" s="5" t="s">
        <v>69</v>
      </c>
      <c r="D301" s="5" t="s">
        <v>73</v>
      </c>
      <c r="E301" s="5" t="s">
        <v>79</v>
      </c>
      <c r="F301" s="5" t="s">
        <v>323</v>
      </c>
      <c r="G301" s="5">
        <v>2</v>
      </c>
      <c r="H301" s="5" t="s">
        <v>388</v>
      </c>
    </row>
    <row r="302" spans="1:8" x14ac:dyDescent="0.25">
      <c r="A302" s="4">
        <v>44287</v>
      </c>
      <c r="B302" s="5" t="s">
        <v>52</v>
      </c>
      <c r="C302" s="5" t="s">
        <v>69</v>
      </c>
      <c r="D302" s="5" t="s">
        <v>71</v>
      </c>
      <c r="E302" s="5" t="s">
        <v>86</v>
      </c>
      <c r="F302" s="5" t="s">
        <v>324</v>
      </c>
      <c r="G302" s="5">
        <v>3</v>
      </c>
      <c r="H302" s="5" t="s">
        <v>388</v>
      </c>
    </row>
    <row r="303" spans="1:8" x14ac:dyDescent="0.25">
      <c r="A303" s="4">
        <v>44287</v>
      </c>
      <c r="B303" s="5" t="s">
        <v>52</v>
      </c>
      <c r="C303" s="5" t="s">
        <v>69</v>
      </c>
      <c r="D303" s="5" t="s">
        <v>73</v>
      </c>
      <c r="E303" s="5" t="s">
        <v>79</v>
      </c>
      <c r="F303" s="5" t="s">
        <v>325</v>
      </c>
      <c r="G303" s="5">
        <v>0.5</v>
      </c>
      <c r="H303" s="5" t="s">
        <v>388</v>
      </c>
    </row>
    <row r="304" spans="1:8" x14ac:dyDescent="0.25">
      <c r="A304" s="4">
        <v>44287</v>
      </c>
      <c r="B304" s="5" t="s">
        <v>53</v>
      </c>
      <c r="C304" s="5" t="s">
        <v>69</v>
      </c>
      <c r="D304" s="5" t="s">
        <v>72</v>
      </c>
      <c r="E304" s="5" t="s">
        <v>78</v>
      </c>
      <c r="F304" s="5" t="s">
        <v>103</v>
      </c>
      <c r="G304" s="5">
        <v>1</v>
      </c>
      <c r="H304" s="5" t="s">
        <v>388</v>
      </c>
    </row>
    <row r="305" spans="1:8" x14ac:dyDescent="0.25">
      <c r="A305" s="4">
        <v>44287</v>
      </c>
      <c r="B305" s="5" t="s">
        <v>53</v>
      </c>
      <c r="C305" s="5" t="s">
        <v>69</v>
      </c>
      <c r="D305" s="5" t="s">
        <v>73</v>
      </c>
      <c r="E305" s="5" t="s">
        <v>79</v>
      </c>
      <c r="F305" s="5" t="s">
        <v>326</v>
      </c>
      <c r="G305" s="5">
        <v>0.5</v>
      </c>
      <c r="H305" s="5" t="s">
        <v>388</v>
      </c>
    </row>
    <row r="306" spans="1:8" x14ac:dyDescent="0.25">
      <c r="A306" s="4">
        <v>44287</v>
      </c>
      <c r="B306" s="5" t="s">
        <v>53</v>
      </c>
      <c r="C306" s="5" t="s">
        <v>69</v>
      </c>
      <c r="D306" s="5" t="s">
        <v>74</v>
      </c>
      <c r="E306" s="5" t="s">
        <v>84</v>
      </c>
      <c r="F306" s="5" t="s">
        <v>307</v>
      </c>
      <c r="G306" s="5">
        <v>2</v>
      </c>
      <c r="H306" s="5" t="s">
        <v>388</v>
      </c>
    </row>
    <row r="307" spans="1:8" x14ac:dyDescent="0.25">
      <c r="A307" s="4">
        <v>44287</v>
      </c>
      <c r="B307" s="5" t="s">
        <v>54</v>
      </c>
      <c r="C307" s="5" t="s">
        <v>68</v>
      </c>
      <c r="D307" s="5" t="s">
        <v>73</v>
      </c>
      <c r="E307" s="5" t="s">
        <v>79</v>
      </c>
      <c r="F307" s="5" t="s">
        <v>327</v>
      </c>
      <c r="G307" s="5">
        <v>0.5</v>
      </c>
      <c r="H307" s="5" t="s">
        <v>388</v>
      </c>
    </row>
    <row r="308" spans="1:8" x14ac:dyDescent="0.25">
      <c r="A308" s="4">
        <v>44287</v>
      </c>
      <c r="B308" s="5" t="s">
        <v>54</v>
      </c>
      <c r="C308" s="5" t="s">
        <v>68</v>
      </c>
      <c r="D308" s="5" t="s">
        <v>74</v>
      </c>
      <c r="E308" s="5" t="s">
        <v>84</v>
      </c>
      <c r="F308" s="5" t="s">
        <v>328</v>
      </c>
      <c r="G308" s="5">
        <v>1</v>
      </c>
      <c r="H308" s="5" t="s">
        <v>388</v>
      </c>
    </row>
    <row r="309" spans="1:8" x14ac:dyDescent="0.25">
      <c r="A309" s="4">
        <v>44287</v>
      </c>
      <c r="B309" s="5" t="s">
        <v>54</v>
      </c>
      <c r="C309" s="5" t="s">
        <v>68</v>
      </c>
      <c r="D309" s="5" t="s">
        <v>73</v>
      </c>
      <c r="E309" s="5" t="s">
        <v>76</v>
      </c>
      <c r="F309" s="5" t="s">
        <v>329</v>
      </c>
      <c r="G309" s="5">
        <v>0.5</v>
      </c>
      <c r="H309" s="5" t="s">
        <v>388</v>
      </c>
    </row>
    <row r="310" spans="1:8" x14ac:dyDescent="0.25">
      <c r="A310" s="4">
        <v>44287</v>
      </c>
      <c r="B310" s="5" t="s">
        <v>54</v>
      </c>
      <c r="C310" s="5" t="s">
        <v>68</v>
      </c>
      <c r="D310" s="5" t="s">
        <v>73</v>
      </c>
      <c r="E310" s="5" t="s">
        <v>76</v>
      </c>
      <c r="F310" s="5" t="s">
        <v>301</v>
      </c>
      <c r="G310" s="5">
        <v>0.5</v>
      </c>
      <c r="H310" s="5" t="s">
        <v>388</v>
      </c>
    </row>
    <row r="311" spans="1:8" x14ac:dyDescent="0.25">
      <c r="A311" s="4">
        <v>44287</v>
      </c>
      <c r="B311" s="5" t="s">
        <v>54</v>
      </c>
      <c r="C311" s="5" t="s">
        <v>68</v>
      </c>
      <c r="D311" s="5" t="s">
        <v>74</v>
      </c>
      <c r="E311" s="5" t="s">
        <v>82</v>
      </c>
      <c r="F311" s="5" t="s">
        <v>330</v>
      </c>
      <c r="G311" s="5">
        <v>1</v>
      </c>
      <c r="H311" s="5" t="s">
        <v>388</v>
      </c>
    </row>
    <row r="312" spans="1:8" x14ac:dyDescent="0.25">
      <c r="A312" s="4">
        <v>44287</v>
      </c>
      <c r="B312" s="5" t="s">
        <v>55</v>
      </c>
      <c r="C312" s="5" t="s">
        <v>70</v>
      </c>
      <c r="D312" s="5" t="s">
        <v>75</v>
      </c>
      <c r="E312" s="5" t="s">
        <v>86</v>
      </c>
      <c r="F312" s="5" t="s">
        <v>331</v>
      </c>
      <c r="G312" s="5">
        <v>3</v>
      </c>
      <c r="H312" s="5" t="s">
        <v>388</v>
      </c>
    </row>
    <row r="313" spans="1:8" x14ac:dyDescent="0.25">
      <c r="A313" s="4">
        <v>44287</v>
      </c>
      <c r="B313" s="5" t="s">
        <v>55</v>
      </c>
      <c r="C313" s="5" t="s">
        <v>70</v>
      </c>
      <c r="D313" s="5" t="s">
        <v>73</v>
      </c>
      <c r="E313" s="5" t="s">
        <v>79</v>
      </c>
      <c r="F313" s="5" t="s">
        <v>332</v>
      </c>
      <c r="G313" s="5">
        <v>2</v>
      </c>
      <c r="H313" s="5" t="s">
        <v>388</v>
      </c>
    </row>
    <row r="314" spans="1:8" x14ac:dyDescent="0.25">
      <c r="A314" s="4">
        <v>44287</v>
      </c>
      <c r="B314" s="5" t="s">
        <v>55</v>
      </c>
      <c r="C314" s="5" t="s">
        <v>70</v>
      </c>
      <c r="D314" s="5" t="s">
        <v>71</v>
      </c>
      <c r="E314" s="5" t="s">
        <v>86</v>
      </c>
      <c r="F314" s="5" t="s">
        <v>333</v>
      </c>
      <c r="G314" s="5">
        <v>4</v>
      </c>
      <c r="H314" s="5" t="s">
        <v>388</v>
      </c>
    </row>
    <row r="315" spans="1:8" x14ac:dyDescent="0.25">
      <c r="A315" s="4">
        <v>44287</v>
      </c>
      <c r="B315" s="5" t="s">
        <v>52</v>
      </c>
      <c r="C315" s="5" t="s">
        <v>69</v>
      </c>
      <c r="D315" s="5" t="s">
        <v>73</v>
      </c>
      <c r="E315" s="5" t="s">
        <v>79</v>
      </c>
      <c r="F315" s="5" t="s">
        <v>334</v>
      </c>
      <c r="G315" s="5">
        <v>1.5</v>
      </c>
      <c r="H315" s="5" t="s">
        <v>388</v>
      </c>
    </row>
    <row r="316" spans="1:8" x14ac:dyDescent="0.25">
      <c r="A316" s="4">
        <v>44287</v>
      </c>
      <c r="B316" s="5" t="s">
        <v>56</v>
      </c>
      <c r="C316" s="5" t="s">
        <v>68</v>
      </c>
      <c r="D316" s="5" t="s">
        <v>74</v>
      </c>
      <c r="E316" s="5" t="s">
        <v>84</v>
      </c>
      <c r="F316" s="5" t="s">
        <v>335</v>
      </c>
      <c r="G316" s="5">
        <v>0.5</v>
      </c>
      <c r="H316" s="5" t="s">
        <v>388</v>
      </c>
    </row>
    <row r="317" spans="1:8" x14ac:dyDescent="0.25">
      <c r="A317" s="4">
        <v>44287</v>
      </c>
      <c r="B317" s="5" t="s">
        <v>56</v>
      </c>
      <c r="C317" s="5" t="s">
        <v>68</v>
      </c>
      <c r="D317" s="5" t="s">
        <v>73</v>
      </c>
      <c r="E317" s="5" t="s">
        <v>79</v>
      </c>
      <c r="F317" s="5" t="s">
        <v>336</v>
      </c>
      <c r="G317" s="5">
        <v>1.5</v>
      </c>
      <c r="H317" s="5" t="s">
        <v>388</v>
      </c>
    </row>
    <row r="318" spans="1:8" x14ac:dyDescent="0.25">
      <c r="A318" s="4">
        <v>44287</v>
      </c>
      <c r="B318" s="5" t="s">
        <v>56</v>
      </c>
      <c r="C318" s="5" t="s">
        <v>68</v>
      </c>
      <c r="D318" s="5" t="s">
        <v>73</v>
      </c>
      <c r="E318" s="5" t="s">
        <v>87</v>
      </c>
      <c r="F318" s="5" t="s">
        <v>337</v>
      </c>
      <c r="G318" s="5">
        <v>0.5</v>
      </c>
      <c r="H318" s="5" t="s">
        <v>388</v>
      </c>
    </row>
    <row r="319" spans="1:8" x14ac:dyDescent="0.25">
      <c r="A319" s="4">
        <v>44287</v>
      </c>
      <c r="B319" s="5" t="s">
        <v>56</v>
      </c>
      <c r="C319" s="5" t="s">
        <v>68</v>
      </c>
      <c r="D319" s="5" t="s">
        <v>74</v>
      </c>
      <c r="E319" s="5" t="s">
        <v>84</v>
      </c>
      <c r="F319" s="5" t="s">
        <v>338</v>
      </c>
      <c r="G319" s="5">
        <v>0.5</v>
      </c>
      <c r="H319" s="5" t="s">
        <v>388</v>
      </c>
    </row>
    <row r="320" spans="1:8" x14ac:dyDescent="0.25">
      <c r="A320" s="4">
        <v>44287</v>
      </c>
      <c r="B320" s="5" t="s">
        <v>56</v>
      </c>
      <c r="C320" s="5" t="s">
        <v>68</v>
      </c>
      <c r="D320" s="5" t="s">
        <v>74</v>
      </c>
      <c r="E320" s="5" t="s">
        <v>84</v>
      </c>
      <c r="F320" s="5" t="s">
        <v>339</v>
      </c>
      <c r="G320" s="5">
        <v>0.5</v>
      </c>
      <c r="H320" s="5" t="s">
        <v>388</v>
      </c>
    </row>
    <row r="321" spans="1:8" x14ac:dyDescent="0.25">
      <c r="A321" s="4">
        <v>44287</v>
      </c>
      <c r="B321" s="5" t="s">
        <v>56</v>
      </c>
      <c r="C321" s="5" t="s">
        <v>68</v>
      </c>
      <c r="D321" s="5" t="s">
        <v>74</v>
      </c>
      <c r="E321" s="5" t="s">
        <v>84</v>
      </c>
      <c r="F321" s="5" t="s">
        <v>340</v>
      </c>
      <c r="G321" s="5">
        <v>0.5</v>
      </c>
      <c r="H321" s="5" t="s">
        <v>388</v>
      </c>
    </row>
    <row r="322" spans="1:8" x14ac:dyDescent="0.25">
      <c r="A322" s="4">
        <v>44287</v>
      </c>
      <c r="B322" s="5" t="s">
        <v>53</v>
      </c>
      <c r="C322" s="5" t="s">
        <v>69</v>
      </c>
      <c r="D322" s="5" t="s">
        <v>73</v>
      </c>
      <c r="E322" s="5" t="s">
        <v>79</v>
      </c>
      <c r="F322" s="5" t="s">
        <v>187</v>
      </c>
      <c r="G322" s="5">
        <v>1.5</v>
      </c>
      <c r="H322" s="5" t="s">
        <v>388</v>
      </c>
    </row>
    <row r="323" spans="1:8" x14ac:dyDescent="0.25">
      <c r="A323" s="4">
        <v>44287</v>
      </c>
      <c r="B323" s="5" t="s">
        <v>56</v>
      </c>
      <c r="C323" s="5" t="s">
        <v>68</v>
      </c>
      <c r="D323" s="5" t="s">
        <v>74</v>
      </c>
      <c r="E323" s="5" t="s">
        <v>82</v>
      </c>
      <c r="F323" s="5" t="s">
        <v>341</v>
      </c>
      <c r="G323" s="5">
        <v>0.5</v>
      </c>
      <c r="H323" s="5" t="s">
        <v>388</v>
      </c>
    </row>
    <row r="324" spans="1:8" x14ac:dyDescent="0.25">
      <c r="A324" s="4">
        <v>44287</v>
      </c>
      <c r="B324" s="5" t="s">
        <v>56</v>
      </c>
      <c r="C324" s="5" t="s">
        <v>68</v>
      </c>
      <c r="D324" s="5" t="s">
        <v>73</v>
      </c>
      <c r="E324" s="5" t="s">
        <v>87</v>
      </c>
      <c r="F324" s="5" t="s">
        <v>334</v>
      </c>
      <c r="G324" s="5">
        <v>0.5</v>
      </c>
      <c r="H324" s="5" t="s">
        <v>388</v>
      </c>
    </row>
    <row r="325" spans="1:8" x14ac:dyDescent="0.25">
      <c r="A325" s="4">
        <v>44287</v>
      </c>
      <c r="B325" s="5" t="s">
        <v>56</v>
      </c>
      <c r="C325" s="5" t="s">
        <v>68</v>
      </c>
      <c r="D325" s="5" t="s">
        <v>73</v>
      </c>
      <c r="E325" s="5" t="s">
        <v>87</v>
      </c>
      <c r="F325" s="5" t="s">
        <v>342</v>
      </c>
      <c r="G325" s="5">
        <v>2</v>
      </c>
      <c r="H325" s="5" t="s">
        <v>388</v>
      </c>
    </row>
    <row r="326" spans="1:8" x14ac:dyDescent="0.25">
      <c r="A326" s="4">
        <v>44287</v>
      </c>
      <c r="B326" s="5" t="s">
        <v>56</v>
      </c>
      <c r="C326" s="5" t="s">
        <v>68</v>
      </c>
      <c r="D326" s="5" t="s">
        <v>73</v>
      </c>
      <c r="E326" s="5" t="s">
        <v>87</v>
      </c>
      <c r="F326" s="5" t="s">
        <v>343</v>
      </c>
      <c r="G326" s="5">
        <v>1.5</v>
      </c>
      <c r="H326" s="5" t="s">
        <v>388</v>
      </c>
    </row>
    <row r="327" spans="1:8" x14ac:dyDescent="0.25">
      <c r="A327" s="4">
        <v>44287</v>
      </c>
      <c r="B327" s="5" t="s">
        <v>56</v>
      </c>
      <c r="C327" s="5" t="s">
        <v>68</v>
      </c>
      <c r="D327" s="5" t="s">
        <v>73</v>
      </c>
      <c r="E327" s="5" t="s">
        <v>87</v>
      </c>
      <c r="F327" s="5" t="s">
        <v>344</v>
      </c>
      <c r="G327" s="5">
        <v>0.5</v>
      </c>
      <c r="H327" s="5" t="s">
        <v>388</v>
      </c>
    </row>
    <row r="328" spans="1:8" x14ac:dyDescent="0.25">
      <c r="A328" s="4">
        <v>44288</v>
      </c>
      <c r="B328" s="5" t="s">
        <v>48</v>
      </c>
      <c r="C328" s="5" t="s">
        <v>70</v>
      </c>
      <c r="D328" s="5" t="s">
        <v>72</v>
      </c>
      <c r="E328" s="5" t="s">
        <v>83</v>
      </c>
      <c r="F328" s="5" t="s">
        <v>83</v>
      </c>
      <c r="G328" s="5">
        <v>2.25</v>
      </c>
      <c r="H328" s="5" t="s">
        <v>388</v>
      </c>
    </row>
    <row r="329" spans="1:8" x14ac:dyDescent="0.25">
      <c r="A329" s="4">
        <v>44288</v>
      </c>
      <c r="B329" s="5" t="s">
        <v>52</v>
      </c>
      <c r="C329" s="5" t="s">
        <v>69</v>
      </c>
      <c r="D329" s="5" t="s">
        <v>73</v>
      </c>
      <c r="E329" s="5" t="s">
        <v>79</v>
      </c>
      <c r="F329" s="5" t="s">
        <v>345</v>
      </c>
      <c r="G329" s="5">
        <v>3</v>
      </c>
      <c r="H329" s="5" t="s">
        <v>388</v>
      </c>
    </row>
    <row r="330" spans="1:8" x14ac:dyDescent="0.25">
      <c r="A330" s="4">
        <v>44288</v>
      </c>
      <c r="B330" s="5" t="s">
        <v>52</v>
      </c>
      <c r="C330" s="5" t="s">
        <v>69</v>
      </c>
      <c r="D330" s="5" t="s">
        <v>71</v>
      </c>
      <c r="E330" s="5" t="s">
        <v>86</v>
      </c>
      <c r="F330" s="5" t="s">
        <v>324</v>
      </c>
      <c r="G330" s="5">
        <v>4</v>
      </c>
      <c r="H330" s="5" t="s">
        <v>388</v>
      </c>
    </row>
    <row r="331" spans="1:8" x14ac:dyDescent="0.25">
      <c r="A331" s="4">
        <v>44288</v>
      </c>
      <c r="B331" s="5" t="s">
        <v>49</v>
      </c>
      <c r="C331" s="5" t="s">
        <v>69</v>
      </c>
      <c r="D331" s="5" t="s">
        <v>72</v>
      </c>
      <c r="E331" s="5" t="s">
        <v>83</v>
      </c>
      <c r="F331" s="5" t="s">
        <v>346</v>
      </c>
      <c r="G331" s="5">
        <v>9</v>
      </c>
      <c r="H331" s="5" t="s">
        <v>388</v>
      </c>
    </row>
    <row r="332" spans="1:8" x14ac:dyDescent="0.25">
      <c r="A332" s="4">
        <v>44288</v>
      </c>
      <c r="B332" s="5" t="s">
        <v>56</v>
      </c>
      <c r="C332" s="5" t="s">
        <v>68</v>
      </c>
      <c r="D332" s="5" t="s">
        <v>72</v>
      </c>
      <c r="E332" s="5" t="s">
        <v>83</v>
      </c>
      <c r="F332" s="5" t="s">
        <v>177</v>
      </c>
      <c r="G332" s="5">
        <v>9</v>
      </c>
      <c r="H332" s="5" t="s">
        <v>388</v>
      </c>
    </row>
    <row r="333" spans="1:8" x14ac:dyDescent="0.25">
      <c r="A333" s="4">
        <v>44288</v>
      </c>
      <c r="B333" s="5" t="s">
        <v>52</v>
      </c>
      <c r="C333" s="5" t="s">
        <v>69</v>
      </c>
      <c r="D333" s="5" t="s">
        <v>74</v>
      </c>
      <c r="E333" s="5" t="s">
        <v>82</v>
      </c>
      <c r="F333" s="5" t="s">
        <v>316</v>
      </c>
      <c r="G333" s="5">
        <v>2</v>
      </c>
      <c r="H333" s="5" t="s">
        <v>388</v>
      </c>
    </row>
    <row r="334" spans="1:8" x14ac:dyDescent="0.25">
      <c r="A334" s="4">
        <v>44288</v>
      </c>
      <c r="B334" s="5" t="s">
        <v>45</v>
      </c>
      <c r="C334" s="5" t="s">
        <v>68</v>
      </c>
      <c r="D334" s="5" t="s">
        <v>73</v>
      </c>
      <c r="E334" s="5" t="s">
        <v>79</v>
      </c>
      <c r="F334" s="5" t="s">
        <v>347</v>
      </c>
      <c r="G334" s="5">
        <v>3</v>
      </c>
      <c r="H334" s="5" t="s">
        <v>388</v>
      </c>
    </row>
    <row r="335" spans="1:8" x14ac:dyDescent="0.25">
      <c r="A335" s="4">
        <v>44288</v>
      </c>
      <c r="B335" s="5" t="s">
        <v>55</v>
      </c>
      <c r="C335" s="5" t="s">
        <v>70</v>
      </c>
      <c r="D335" s="5" t="s">
        <v>72</v>
      </c>
      <c r="E335" s="5" t="s">
        <v>83</v>
      </c>
      <c r="F335" s="5" t="s">
        <v>348</v>
      </c>
      <c r="G335" s="5">
        <v>9</v>
      </c>
      <c r="H335" s="5" t="s">
        <v>388</v>
      </c>
    </row>
    <row r="336" spans="1:8" x14ac:dyDescent="0.25">
      <c r="A336" s="4">
        <v>44288</v>
      </c>
      <c r="B336" s="5" t="s">
        <v>47</v>
      </c>
      <c r="C336" s="5" t="s">
        <v>69</v>
      </c>
      <c r="D336" s="5" t="s">
        <v>72</v>
      </c>
      <c r="E336" s="5" t="s">
        <v>83</v>
      </c>
      <c r="F336" s="5" t="s">
        <v>176</v>
      </c>
      <c r="G336" s="5">
        <v>9</v>
      </c>
      <c r="H336" s="5" t="s">
        <v>388</v>
      </c>
    </row>
    <row r="337" spans="1:8" x14ac:dyDescent="0.25">
      <c r="A337" s="4">
        <v>44288</v>
      </c>
      <c r="B337" s="5" t="s">
        <v>51</v>
      </c>
      <c r="C337" s="5" t="s">
        <v>69</v>
      </c>
      <c r="D337" s="5" t="s">
        <v>72</v>
      </c>
      <c r="E337" s="5" t="s">
        <v>83</v>
      </c>
      <c r="F337" s="5" t="s">
        <v>349</v>
      </c>
      <c r="G337" s="5">
        <v>9</v>
      </c>
      <c r="H337" s="5" t="s">
        <v>388</v>
      </c>
    </row>
    <row r="338" spans="1:8" x14ac:dyDescent="0.25">
      <c r="A338" s="4">
        <v>44288</v>
      </c>
      <c r="B338" s="5" t="s">
        <v>50</v>
      </c>
      <c r="C338" s="5" t="s">
        <v>69</v>
      </c>
      <c r="D338" s="5" t="s">
        <v>72</v>
      </c>
      <c r="E338" s="5" t="s">
        <v>83</v>
      </c>
      <c r="F338" s="5" t="s">
        <v>350</v>
      </c>
      <c r="G338" s="5">
        <v>9</v>
      </c>
      <c r="H338" s="5" t="s">
        <v>388</v>
      </c>
    </row>
    <row r="339" spans="1:8" x14ac:dyDescent="0.25">
      <c r="A339" s="4">
        <v>44288</v>
      </c>
      <c r="B339" s="5" t="s">
        <v>45</v>
      </c>
      <c r="C339" s="5" t="s">
        <v>68</v>
      </c>
      <c r="D339" s="5" t="s">
        <v>73</v>
      </c>
      <c r="E339" s="5" t="s">
        <v>79</v>
      </c>
      <c r="F339" s="5" t="s">
        <v>320</v>
      </c>
      <c r="G339" s="5">
        <v>1.5</v>
      </c>
      <c r="H339" s="5" t="s">
        <v>388</v>
      </c>
    </row>
    <row r="340" spans="1:8" x14ac:dyDescent="0.25">
      <c r="A340" s="4">
        <v>44288</v>
      </c>
      <c r="B340" s="5" t="s">
        <v>45</v>
      </c>
      <c r="C340" s="5" t="s">
        <v>68</v>
      </c>
      <c r="D340" s="5" t="s">
        <v>74</v>
      </c>
      <c r="E340" s="5" t="s">
        <v>84</v>
      </c>
      <c r="F340" s="5" t="s">
        <v>351</v>
      </c>
      <c r="G340" s="5">
        <v>1</v>
      </c>
      <c r="H340" s="5" t="s">
        <v>388</v>
      </c>
    </row>
    <row r="341" spans="1:8" x14ac:dyDescent="0.25">
      <c r="A341" s="4">
        <v>44288</v>
      </c>
      <c r="B341" s="5" t="s">
        <v>45</v>
      </c>
      <c r="C341" s="5" t="s">
        <v>68</v>
      </c>
      <c r="D341" s="5" t="s">
        <v>74</v>
      </c>
      <c r="E341" s="5" t="s">
        <v>84</v>
      </c>
      <c r="F341" s="5" t="s">
        <v>352</v>
      </c>
      <c r="G341" s="5">
        <v>1</v>
      </c>
      <c r="H341" s="5" t="s">
        <v>388</v>
      </c>
    </row>
    <row r="342" spans="1:8" x14ac:dyDescent="0.25">
      <c r="A342" s="4">
        <v>44288</v>
      </c>
      <c r="B342" s="5" t="s">
        <v>53</v>
      </c>
      <c r="C342" s="5" t="s">
        <v>69</v>
      </c>
      <c r="D342" s="5" t="s">
        <v>72</v>
      </c>
      <c r="E342" s="5" t="s">
        <v>83</v>
      </c>
      <c r="F342" s="5" t="s">
        <v>176</v>
      </c>
      <c r="G342" s="5">
        <v>9</v>
      </c>
      <c r="H342" s="5" t="s">
        <v>388</v>
      </c>
    </row>
    <row r="343" spans="1:8" x14ac:dyDescent="0.25">
      <c r="A343" s="4">
        <v>44288</v>
      </c>
      <c r="B343" s="5" t="s">
        <v>45</v>
      </c>
      <c r="C343" s="5" t="s">
        <v>68</v>
      </c>
      <c r="D343" s="5" t="s">
        <v>74</v>
      </c>
      <c r="E343" s="5" t="s">
        <v>84</v>
      </c>
      <c r="F343" s="5" t="s">
        <v>353</v>
      </c>
      <c r="G343" s="5">
        <v>0.5</v>
      </c>
      <c r="H343" s="5" t="s">
        <v>388</v>
      </c>
    </row>
    <row r="344" spans="1:8" x14ac:dyDescent="0.25">
      <c r="A344" s="4">
        <v>44288</v>
      </c>
      <c r="B344" s="5" t="s">
        <v>45</v>
      </c>
      <c r="C344" s="5" t="s">
        <v>68</v>
      </c>
      <c r="D344" s="5" t="s">
        <v>74</v>
      </c>
      <c r="E344" s="5" t="s">
        <v>82</v>
      </c>
      <c r="F344" s="5" t="s">
        <v>354</v>
      </c>
      <c r="G344" s="5">
        <v>0.5</v>
      </c>
      <c r="H344" s="5" t="s">
        <v>388</v>
      </c>
    </row>
    <row r="345" spans="1:8" x14ac:dyDescent="0.25">
      <c r="A345" s="4">
        <v>44288</v>
      </c>
      <c r="B345" s="5" t="s">
        <v>54</v>
      </c>
      <c r="C345" s="5" t="s">
        <v>68</v>
      </c>
      <c r="D345" s="5" t="s">
        <v>72</v>
      </c>
      <c r="E345" s="5" t="s">
        <v>83</v>
      </c>
      <c r="F345" s="5" t="s">
        <v>176</v>
      </c>
      <c r="G345" s="5">
        <v>9</v>
      </c>
      <c r="H345" s="5" t="s">
        <v>388</v>
      </c>
    </row>
    <row r="346" spans="1:8" x14ac:dyDescent="0.25">
      <c r="A346" s="4">
        <v>44288</v>
      </c>
      <c r="B346" s="5" t="s">
        <v>45</v>
      </c>
      <c r="C346" s="5" t="s">
        <v>68</v>
      </c>
      <c r="D346" s="5" t="s">
        <v>74</v>
      </c>
      <c r="E346" s="5" t="s">
        <v>84</v>
      </c>
      <c r="F346" s="5" t="s">
        <v>290</v>
      </c>
      <c r="G346" s="5">
        <v>0.5</v>
      </c>
      <c r="H346" s="5" t="s">
        <v>388</v>
      </c>
    </row>
    <row r="347" spans="1:8" x14ac:dyDescent="0.25">
      <c r="A347" s="4">
        <v>44288</v>
      </c>
      <c r="B347" s="5" t="s">
        <v>45</v>
      </c>
      <c r="C347" s="5" t="s">
        <v>68</v>
      </c>
      <c r="D347" s="5" t="s">
        <v>74</v>
      </c>
      <c r="E347" s="5" t="s">
        <v>84</v>
      </c>
      <c r="F347" s="5" t="s">
        <v>296</v>
      </c>
      <c r="G347" s="5">
        <v>0.5</v>
      </c>
      <c r="H347" s="5" t="s">
        <v>388</v>
      </c>
    </row>
    <row r="348" spans="1:8" x14ac:dyDescent="0.25">
      <c r="A348" s="4">
        <v>44288</v>
      </c>
      <c r="B348" s="5" t="s">
        <v>46</v>
      </c>
      <c r="C348" s="5" t="s">
        <v>68</v>
      </c>
      <c r="D348" s="5" t="s">
        <v>72</v>
      </c>
      <c r="E348" s="5" t="s">
        <v>83</v>
      </c>
      <c r="F348" s="5" t="s">
        <v>177</v>
      </c>
      <c r="G348" s="5">
        <v>9</v>
      </c>
      <c r="H348" s="5" t="s">
        <v>388</v>
      </c>
    </row>
    <row r="349" spans="1:8" x14ac:dyDescent="0.25">
      <c r="A349" s="4">
        <v>44288</v>
      </c>
      <c r="B349" s="5" t="s">
        <v>45</v>
      </c>
      <c r="C349" s="5" t="s">
        <v>68</v>
      </c>
      <c r="D349" s="5" t="s">
        <v>74</v>
      </c>
      <c r="E349" s="5" t="s">
        <v>82</v>
      </c>
      <c r="F349" s="5" t="s">
        <v>341</v>
      </c>
      <c r="G349" s="5">
        <v>0.5</v>
      </c>
      <c r="H349" s="5" t="s">
        <v>388</v>
      </c>
    </row>
    <row r="350" spans="1:8" x14ac:dyDescent="0.25">
      <c r="A350" s="4">
        <v>44291</v>
      </c>
      <c r="B350" s="5" t="s">
        <v>52</v>
      </c>
      <c r="C350" s="5" t="s">
        <v>69</v>
      </c>
      <c r="D350" s="5" t="s">
        <v>75</v>
      </c>
      <c r="E350" s="5" t="s">
        <v>86</v>
      </c>
      <c r="F350" s="5" t="s">
        <v>355</v>
      </c>
      <c r="G350" s="5">
        <v>1.5</v>
      </c>
      <c r="H350" s="5" t="s">
        <v>388</v>
      </c>
    </row>
    <row r="351" spans="1:8" x14ac:dyDescent="0.25">
      <c r="A351" s="4">
        <v>44291</v>
      </c>
      <c r="B351" s="5" t="s">
        <v>49</v>
      </c>
      <c r="C351" s="5" t="s">
        <v>69</v>
      </c>
      <c r="D351" s="5" t="s">
        <v>73</v>
      </c>
      <c r="E351" s="5" t="s">
        <v>79</v>
      </c>
      <c r="F351" s="5" t="s">
        <v>334</v>
      </c>
      <c r="G351" s="5">
        <v>2</v>
      </c>
      <c r="H351" s="5" t="s">
        <v>388</v>
      </c>
    </row>
    <row r="352" spans="1:8" x14ac:dyDescent="0.25">
      <c r="A352" s="4">
        <v>44291</v>
      </c>
      <c r="B352" s="5" t="s">
        <v>49</v>
      </c>
      <c r="C352" s="5" t="s">
        <v>69</v>
      </c>
      <c r="D352" s="5" t="s">
        <v>73</v>
      </c>
      <c r="E352" s="5" t="s">
        <v>91</v>
      </c>
      <c r="F352" s="5" t="s">
        <v>305</v>
      </c>
      <c r="G352" s="5">
        <v>1</v>
      </c>
      <c r="H352" s="5" t="s">
        <v>388</v>
      </c>
    </row>
    <row r="353" spans="1:8" x14ac:dyDescent="0.25">
      <c r="A353" s="4">
        <v>44291</v>
      </c>
      <c r="B353" s="5" t="s">
        <v>47</v>
      </c>
      <c r="C353" s="5" t="s">
        <v>69</v>
      </c>
      <c r="D353" s="5" t="s">
        <v>74</v>
      </c>
      <c r="E353" s="5" t="s">
        <v>84</v>
      </c>
      <c r="F353" s="5" t="s">
        <v>356</v>
      </c>
      <c r="G353" s="5">
        <v>0.5</v>
      </c>
      <c r="H353" s="5" t="s">
        <v>388</v>
      </c>
    </row>
    <row r="354" spans="1:8" x14ac:dyDescent="0.25">
      <c r="A354" s="4">
        <v>44291</v>
      </c>
      <c r="B354" s="5" t="s">
        <v>55</v>
      </c>
      <c r="C354" s="5" t="s">
        <v>70</v>
      </c>
      <c r="D354" s="5" t="s">
        <v>73</v>
      </c>
      <c r="E354" s="5" t="s">
        <v>79</v>
      </c>
      <c r="F354" s="5" t="s">
        <v>357</v>
      </c>
      <c r="G354" s="5">
        <v>2</v>
      </c>
      <c r="H354" s="5" t="s">
        <v>388</v>
      </c>
    </row>
    <row r="355" spans="1:8" x14ac:dyDescent="0.25">
      <c r="A355" s="4">
        <v>44291</v>
      </c>
      <c r="B355" s="5" t="s">
        <v>55</v>
      </c>
      <c r="C355" s="5" t="s">
        <v>70</v>
      </c>
      <c r="D355" s="5" t="s">
        <v>75</v>
      </c>
      <c r="E355" s="5" t="s">
        <v>86</v>
      </c>
      <c r="F355" s="5" t="s">
        <v>358</v>
      </c>
      <c r="G355" s="5">
        <v>3</v>
      </c>
      <c r="H355" s="5" t="s">
        <v>388</v>
      </c>
    </row>
    <row r="356" spans="1:8" x14ac:dyDescent="0.25">
      <c r="A356" s="4">
        <v>44291</v>
      </c>
      <c r="B356" s="5" t="s">
        <v>55</v>
      </c>
      <c r="C356" s="5" t="s">
        <v>70</v>
      </c>
      <c r="D356" s="5" t="s">
        <v>75</v>
      </c>
      <c r="E356" s="5" t="s">
        <v>86</v>
      </c>
      <c r="F356" s="5" t="s">
        <v>359</v>
      </c>
      <c r="G356" s="5">
        <v>2</v>
      </c>
      <c r="H356" s="5" t="s">
        <v>388</v>
      </c>
    </row>
    <row r="357" spans="1:8" x14ac:dyDescent="0.25">
      <c r="A357" s="4">
        <v>44291</v>
      </c>
      <c r="B357" s="5" t="s">
        <v>51</v>
      </c>
      <c r="C357" s="5" t="s">
        <v>69</v>
      </c>
      <c r="D357" s="5" t="s">
        <v>74</v>
      </c>
      <c r="E357" s="5" t="s">
        <v>82</v>
      </c>
      <c r="F357" s="5" t="s">
        <v>360</v>
      </c>
      <c r="G357" s="5">
        <v>1</v>
      </c>
      <c r="H357" s="5" t="s">
        <v>388</v>
      </c>
    </row>
    <row r="358" spans="1:8" x14ac:dyDescent="0.25">
      <c r="A358" s="4">
        <v>44291</v>
      </c>
      <c r="B358" s="5" t="s">
        <v>51</v>
      </c>
      <c r="C358" s="5" t="s">
        <v>69</v>
      </c>
      <c r="D358" s="5" t="s">
        <v>75</v>
      </c>
      <c r="E358" s="5" t="s">
        <v>86</v>
      </c>
      <c r="F358" s="5" t="s">
        <v>361</v>
      </c>
      <c r="G358" s="5">
        <v>2</v>
      </c>
      <c r="H358" s="5" t="s">
        <v>388</v>
      </c>
    </row>
    <row r="359" spans="1:8" x14ac:dyDescent="0.25">
      <c r="A359" s="4">
        <v>44291</v>
      </c>
      <c r="B359" s="5" t="s">
        <v>49</v>
      </c>
      <c r="C359" s="5" t="s">
        <v>69</v>
      </c>
      <c r="D359" s="5" t="s">
        <v>73</v>
      </c>
      <c r="E359" s="5" t="s">
        <v>79</v>
      </c>
      <c r="F359" s="5" t="s">
        <v>362</v>
      </c>
      <c r="G359" s="5">
        <v>1</v>
      </c>
      <c r="H359" s="5" t="s">
        <v>388</v>
      </c>
    </row>
    <row r="360" spans="1:8" x14ac:dyDescent="0.25">
      <c r="A360" s="4">
        <v>44291</v>
      </c>
      <c r="B360" s="5" t="s">
        <v>51</v>
      </c>
      <c r="C360" s="5" t="s">
        <v>69</v>
      </c>
      <c r="D360" s="5" t="s">
        <v>73</v>
      </c>
      <c r="E360" s="5" t="s">
        <v>79</v>
      </c>
      <c r="F360" s="5" t="s">
        <v>363</v>
      </c>
      <c r="G360" s="5">
        <v>1</v>
      </c>
      <c r="H360" s="5" t="s">
        <v>388</v>
      </c>
    </row>
    <row r="361" spans="1:8" x14ac:dyDescent="0.25">
      <c r="A361" s="4">
        <v>44291</v>
      </c>
      <c r="B361" s="5" t="s">
        <v>53</v>
      </c>
      <c r="C361" s="5" t="s">
        <v>69</v>
      </c>
      <c r="D361" s="5" t="s">
        <v>73</v>
      </c>
      <c r="E361" s="5" t="s">
        <v>79</v>
      </c>
      <c r="F361" s="5" t="s">
        <v>160</v>
      </c>
      <c r="G361" s="5">
        <v>1</v>
      </c>
      <c r="H361" s="5" t="s">
        <v>388</v>
      </c>
    </row>
    <row r="362" spans="1:8" x14ac:dyDescent="0.25">
      <c r="A362" s="4">
        <v>44291</v>
      </c>
      <c r="B362" s="5" t="s">
        <v>52</v>
      </c>
      <c r="C362" s="5" t="s">
        <v>69</v>
      </c>
      <c r="D362" s="5" t="s">
        <v>71</v>
      </c>
      <c r="E362" s="5" t="s">
        <v>86</v>
      </c>
      <c r="F362" s="5" t="s">
        <v>324</v>
      </c>
      <c r="G362" s="5">
        <v>3.5</v>
      </c>
      <c r="H362" s="5" t="s">
        <v>388</v>
      </c>
    </row>
    <row r="363" spans="1:8" x14ac:dyDescent="0.25">
      <c r="A363" s="4">
        <v>44291</v>
      </c>
      <c r="B363" s="5" t="s">
        <v>52</v>
      </c>
      <c r="C363" s="5" t="s">
        <v>69</v>
      </c>
      <c r="D363" s="5" t="s">
        <v>73</v>
      </c>
      <c r="E363" s="5" t="s">
        <v>79</v>
      </c>
      <c r="F363" s="5" t="s">
        <v>133</v>
      </c>
      <c r="G363" s="5">
        <v>2</v>
      </c>
      <c r="H363" s="5" t="s">
        <v>388</v>
      </c>
    </row>
    <row r="364" spans="1:8" x14ac:dyDescent="0.25">
      <c r="A364" s="4">
        <v>44291</v>
      </c>
      <c r="B364" s="5" t="s">
        <v>51</v>
      </c>
      <c r="C364" s="5" t="s">
        <v>69</v>
      </c>
      <c r="D364" s="5" t="s">
        <v>73</v>
      </c>
      <c r="E364" s="5" t="s">
        <v>76</v>
      </c>
      <c r="F364" s="5" t="s">
        <v>309</v>
      </c>
      <c r="G364" s="5">
        <v>1</v>
      </c>
      <c r="H364" s="5" t="s">
        <v>388</v>
      </c>
    </row>
    <row r="365" spans="1:8" x14ac:dyDescent="0.25">
      <c r="A365" s="4">
        <v>44291</v>
      </c>
      <c r="B365" s="5" t="s">
        <v>53</v>
      </c>
      <c r="C365" s="5" t="s">
        <v>69</v>
      </c>
      <c r="D365" s="5" t="s">
        <v>73</v>
      </c>
      <c r="E365" s="5" t="s">
        <v>91</v>
      </c>
      <c r="F365" s="5" t="s">
        <v>364</v>
      </c>
      <c r="G365" s="5">
        <v>2</v>
      </c>
      <c r="H365" s="5" t="s">
        <v>388</v>
      </c>
    </row>
    <row r="366" spans="1:8" x14ac:dyDescent="0.25">
      <c r="A366" s="4">
        <v>44291</v>
      </c>
      <c r="B366" s="5" t="s">
        <v>48</v>
      </c>
      <c r="C366" s="5" t="s">
        <v>70</v>
      </c>
      <c r="D366" s="5" t="s">
        <v>73</v>
      </c>
      <c r="E366" s="5" t="s">
        <v>87</v>
      </c>
      <c r="F366" s="5" t="s">
        <v>365</v>
      </c>
      <c r="G366" s="5">
        <v>1.5</v>
      </c>
      <c r="H366" s="5" t="s">
        <v>388</v>
      </c>
    </row>
    <row r="367" spans="1:8" x14ac:dyDescent="0.25">
      <c r="A367" s="4">
        <v>44291</v>
      </c>
      <c r="B367" s="5" t="s">
        <v>51</v>
      </c>
      <c r="C367" s="5" t="s">
        <v>69</v>
      </c>
      <c r="D367" s="5" t="s">
        <v>71</v>
      </c>
      <c r="E367" s="5" t="s">
        <v>86</v>
      </c>
      <c r="F367" s="5" t="s">
        <v>308</v>
      </c>
      <c r="G367" s="5">
        <v>2</v>
      </c>
      <c r="H367" s="5" t="s">
        <v>388</v>
      </c>
    </row>
    <row r="368" spans="1:8" x14ac:dyDescent="0.25">
      <c r="A368" s="4">
        <v>44291</v>
      </c>
      <c r="B368" s="5" t="s">
        <v>51</v>
      </c>
      <c r="C368" s="5" t="s">
        <v>69</v>
      </c>
      <c r="D368" s="5" t="s">
        <v>72</v>
      </c>
      <c r="E368" s="5" t="s">
        <v>80</v>
      </c>
      <c r="F368" s="5" t="s">
        <v>310</v>
      </c>
      <c r="G368" s="5">
        <v>2</v>
      </c>
      <c r="H368" s="5" t="s">
        <v>388</v>
      </c>
    </row>
    <row r="369" spans="1:8" x14ac:dyDescent="0.25">
      <c r="A369" s="4">
        <v>44291</v>
      </c>
      <c r="B369" s="5" t="s">
        <v>50</v>
      </c>
      <c r="C369" s="5" t="s">
        <v>69</v>
      </c>
      <c r="D369" s="5" t="s">
        <v>72</v>
      </c>
      <c r="E369" s="5" t="s">
        <v>90</v>
      </c>
      <c r="F369" s="5" t="s">
        <v>366</v>
      </c>
      <c r="G369" s="5">
        <v>2</v>
      </c>
      <c r="H369" s="5" t="s">
        <v>388</v>
      </c>
    </row>
    <row r="370" spans="1:8" x14ac:dyDescent="0.25">
      <c r="A370" s="4">
        <v>44291</v>
      </c>
      <c r="B370" s="5" t="s">
        <v>50</v>
      </c>
      <c r="C370" s="5" t="s">
        <v>69</v>
      </c>
      <c r="D370" s="5" t="s">
        <v>71</v>
      </c>
      <c r="E370" s="5" t="s">
        <v>86</v>
      </c>
      <c r="F370" s="5" t="s">
        <v>318</v>
      </c>
      <c r="G370" s="5">
        <v>4</v>
      </c>
      <c r="H370" s="5" t="s">
        <v>388</v>
      </c>
    </row>
    <row r="371" spans="1:8" x14ac:dyDescent="0.25">
      <c r="A371" s="4">
        <v>44291</v>
      </c>
      <c r="B371" s="5" t="s">
        <v>50</v>
      </c>
      <c r="C371" s="5" t="s">
        <v>69</v>
      </c>
      <c r="D371" s="5" t="s">
        <v>73</v>
      </c>
      <c r="E371" s="5" t="s">
        <v>79</v>
      </c>
      <c r="F371" s="5" t="s">
        <v>367</v>
      </c>
      <c r="G371" s="5">
        <v>1.5</v>
      </c>
      <c r="H371" s="5" t="s">
        <v>388</v>
      </c>
    </row>
    <row r="372" spans="1:8" x14ac:dyDescent="0.25">
      <c r="A372" s="4">
        <v>44291</v>
      </c>
      <c r="B372" s="5" t="s">
        <v>49</v>
      </c>
      <c r="C372" s="5" t="s">
        <v>69</v>
      </c>
      <c r="D372" s="5" t="s">
        <v>72</v>
      </c>
      <c r="E372" s="5" t="s">
        <v>80</v>
      </c>
      <c r="F372" s="5" t="s">
        <v>314</v>
      </c>
      <c r="G372" s="5">
        <v>2</v>
      </c>
      <c r="H372" s="5" t="s">
        <v>388</v>
      </c>
    </row>
    <row r="373" spans="1:8" x14ac:dyDescent="0.25">
      <c r="A373" s="4">
        <v>44291</v>
      </c>
      <c r="B373" s="5" t="s">
        <v>53</v>
      </c>
      <c r="C373" s="5" t="s">
        <v>69</v>
      </c>
      <c r="D373" s="5" t="s">
        <v>72</v>
      </c>
      <c r="E373" s="5" t="s">
        <v>80</v>
      </c>
      <c r="F373" s="5" t="s">
        <v>242</v>
      </c>
      <c r="G373" s="5">
        <v>2</v>
      </c>
      <c r="H373" s="5" t="s">
        <v>388</v>
      </c>
    </row>
    <row r="374" spans="1:8" x14ac:dyDescent="0.25">
      <c r="A374" s="4">
        <v>44291</v>
      </c>
      <c r="B374" s="5" t="s">
        <v>49</v>
      </c>
      <c r="C374" s="5" t="s">
        <v>69</v>
      </c>
      <c r="D374" s="5" t="s">
        <v>71</v>
      </c>
      <c r="E374" s="5" t="s">
        <v>86</v>
      </c>
      <c r="F374" s="5" t="s">
        <v>312</v>
      </c>
      <c r="G374" s="5">
        <v>3</v>
      </c>
      <c r="H374" s="5" t="s">
        <v>388</v>
      </c>
    </row>
    <row r="375" spans="1:8" x14ac:dyDescent="0.25">
      <c r="A375" s="4">
        <v>44291</v>
      </c>
      <c r="B375" s="5" t="s">
        <v>53</v>
      </c>
      <c r="C375" s="5" t="s">
        <v>69</v>
      </c>
      <c r="D375" s="5" t="s">
        <v>74</v>
      </c>
      <c r="E375" s="5" t="s">
        <v>82</v>
      </c>
      <c r="F375" s="5" t="s">
        <v>360</v>
      </c>
      <c r="G375" s="5">
        <v>2.5</v>
      </c>
      <c r="H375" s="5" t="s">
        <v>388</v>
      </c>
    </row>
    <row r="376" spans="1:8" x14ac:dyDescent="0.25">
      <c r="A376" s="4">
        <v>44291</v>
      </c>
      <c r="B376" s="5" t="s">
        <v>53</v>
      </c>
      <c r="C376" s="5" t="s">
        <v>69</v>
      </c>
      <c r="D376" s="5" t="s">
        <v>73</v>
      </c>
      <c r="E376" s="5" t="s">
        <v>79</v>
      </c>
      <c r="F376" s="5" t="s">
        <v>321</v>
      </c>
      <c r="G376" s="5">
        <v>1</v>
      </c>
      <c r="H376" s="5" t="s">
        <v>388</v>
      </c>
    </row>
    <row r="377" spans="1:8" x14ac:dyDescent="0.25">
      <c r="A377" s="4">
        <v>44291</v>
      </c>
      <c r="B377" s="5" t="s">
        <v>53</v>
      </c>
      <c r="C377" s="5" t="s">
        <v>69</v>
      </c>
      <c r="D377" s="5" t="s">
        <v>73</v>
      </c>
      <c r="E377" s="5" t="s">
        <v>79</v>
      </c>
      <c r="F377" s="5" t="s">
        <v>326</v>
      </c>
      <c r="G377" s="5">
        <v>0.5</v>
      </c>
      <c r="H377" s="5" t="s">
        <v>388</v>
      </c>
    </row>
    <row r="378" spans="1:8" x14ac:dyDescent="0.25">
      <c r="A378" s="4">
        <v>44291</v>
      </c>
      <c r="B378" s="5" t="s">
        <v>47</v>
      </c>
      <c r="C378" s="5" t="s">
        <v>69</v>
      </c>
      <c r="D378" s="5" t="s">
        <v>73</v>
      </c>
      <c r="E378" s="5" t="s">
        <v>79</v>
      </c>
      <c r="F378" s="5" t="s">
        <v>293</v>
      </c>
      <c r="G378" s="5">
        <v>1</v>
      </c>
      <c r="H378" s="5" t="s">
        <v>388</v>
      </c>
    </row>
    <row r="379" spans="1:8" x14ac:dyDescent="0.25">
      <c r="A379" s="4">
        <v>44291</v>
      </c>
      <c r="B379" s="5" t="s">
        <v>52</v>
      </c>
      <c r="C379" s="5" t="s">
        <v>69</v>
      </c>
      <c r="D379" s="5" t="s">
        <v>74</v>
      </c>
      <c r="E379" s="5" t="s">
        <v>84</v>
      </c>
      <c r="F379" s="5" t="s">
        <v>356</v>
      </c>
      <c r="G379" s="5">
        <v>1.5</v>
      </c>
      <c r="H379" s="5" t="s">
        <v>388</v>
      </c>
    </row>
    <row r="380" spans="1:8" x14ac:dyDescent="0.25">
      <c r="A380" s="4">
        <v>44291</v>
      </c>
      <c r="B380" s="5" t="s">
        <v>52</v>
      </c>
      <c r="C380" s="5" t="s">
        <v>69</v>
      </c>
      <c r="D380" s="5" t="s">
        <v>73</v>
      </c>
      <c r="E380" s="5" t="s">
        <v>79</v>
      </c>
      <c r="F380" s="5" t="s">
        <v>345</v>
      </c>
      <c r="G380" s="5">
        <v>0.5</v>
      </c>
      <c r="H380" s="5" t="s">
        <v>388</v>
      </c>
    </row>
    <row r="381" spans="1:8" x14ac:dyDescent="0.25">
      <c r="A381" s="4">
        <v>44291</v>
      </c>
      <c r="B381" s="5" t="s">
        <v>50</v>
      </c>
      <c r="C381" s="5" t="s">
        <v>69</v>
      </c>
      <c r="D381" s="5" t="s">
        <v>74</v>
      </c>
      <c r="E381" s="5" t="s">
        <v>84</v>
      </c>
      <c r="F381" s="5" t="s">
        <v>317</v>
      </c>
      <c r="G381" s="5">
        <v>1.5</v>
      </c>
      <c r="H381" s="5" t="s">
        <v>388</v>
      </c>
    </row>
    <row r="382" spans="1:8" x14ac:dyDescent="0.25">
      <c r="A382" s="4">
        <v>44291</v>
      </c>
      <c r="B382" s="5" t="s">
        <v>56</v>
      </c>
      <c r="C382" s="5" t="s">
        <v>68</v>
      </c>
      <c r="D382" s="5" t="s">
        <v>74</v>
      </c>
      <c r="E382" s="5" t="s">
        <v>84</v>
      </c>
      <c r="F382" s="5" t="s">
        <v>368</v>
      </c>
      <c r="G382" s="5">
        <v>0.5</v>
      </c>
      <c r="H382" s="5" t="s">
        <v>388</v>
      </c>
    </row>
    <row r="383" spans="1:8" x14ac:dyDescent="0.25">
      <c r="A383" s="4">
        <v>44291</v>
      </c>
      <c r="B383" s="5" t="s">
        <v>54</v>
      </c>
      <c r="C383" s="5" t="s">
        <v>68</v>
      </c>
      <c r="D383" s="5" t="s">
        <v>73</v>
      </c>
      <c r="E383" s="5" t="s">
        <v>79</v>
      </c>
      <c r="F383" s="5" t="s">
        <v>369</v>
      </c>
      <c r="G383" s="5">
        <v>0.5</v>
      </c>
      <c r="H383" s="5" t="s">
        <v>388</v>
      </c>
    </row>
    <row r="384" spans="1:8" x14ac:dyDescent="0.25">
      <c r="A384" s="4">
        <v>44291</v>
      </c>
      <c r="B384" s="5" t="s">
        <v>54</v>
      </c>
      <c r="C384" s="5" t="s">
        <v>68</v>
      </c>
      <c r="D384" s="5" t="s">
        <v>74</v>
      </c>
      <c r="E384" s="5" t="s">
        <v>84</v>
      </c>
      <c r="F384" s="5" t="s">
        <v>351</v>
      </c>
      <c r="G384" s="5">
        <v>0.5</v>
      </c>
      <c r="H384" s="5" t="s">
        <v>388</v>
      </c>
    </row>
    <row r="385" spans="1:8" x14ac:dyDescent="0.25">
      <c r="A385" s="4">
        <v>44291</v>
      </c>
      <c r="B385" s="5" t="s">
        <v>56</v>
      </c>
      <c r="C385" s="5" t="s">
        <v>68</v>
      </c>
      <c r="D385" s="5" t="s">
        <v>73</v>
      </c>
      <c r="E385" s="5" t="s">
        <v>91</v>
      </c>
      <c r="F385" s="5" t="s">
        <v>370</v>
      </c>
      <c r="G385" s="5">
        <v>1</v>
      </c>
      <c r="H385" s="5" t="s">
        <v>388</v>
      </c>
    </row>
    <row r="386" spans="1:8" x14ac:dyDescent="0.25">
      <c r="A386" s="4">
        <v>44291</v>
      </c>
      <c r="B386" s="5" t="s">
        <v>56</v>
      </c>
      <c r="C386" s="5" t="s">
        <v>68</v>
      </c>
      <c r="D386" s="5" t="s">
        <v>74</v>
      </c>
      <c r="E386" s="5" t="s">
        <v>84</v>
      </c>
      <c r="F386" s="5" t="s">
        <v>371</v>
      </c>
      <c r="G386" s="5">
        <v>0.5</v>
      </c>
      <c r="H386" s="5" t="s">
        <v>388</v>
      </c>
    </row>
    <row r="387" spans="1:8" x14ac:dyDescent="0.25">
      <c r="A387" s="4">
        <v>44291</v>
      </c>
      <c r="B387" s="5" t="s">
        <v>56</v>
      </c>
      <c r="C387" s="5" t="s">
        <v>68</v>
      </c>
      <c r="D387" s="5" t="s">
        <v>74</v>
      </c>
      <c r="E387" s="5" t="s">
        <v>82</v>
      </c>
      <c r="F387" s="5" t="s">
        <v>372</v>
      </c>
      <c r="G387" s="5">
        <v>1</v>
      </c>
      <c r="H387" s="5" t="s">
        <v>388</v>
      </c>
    </row>
    <row r="388" spans="1:8" x14ac:dyDescent="0.25">
      <c r="A388" s="4">
        <v>44291</v>
      </c>
      <c r="B388" s="5" t="s">
        <v>47</v>
      </c>
      <c r="C388" s="5" t="s">
        <v>69</v>
      </c>
      <c r="D388" s="5" t="s">
        <v>75</v>
      </c>
      <c r="E388" s="5" t="s">
        <v>86</v>
      </c>
      <c r="F388" s="5" t="s">
        <v>292</v>
      </c>
      <c r="G388" s="5">
        <v>1.5</v>
      </c>
      <c r="H388" s="5" t="s">
        <v>388</v>
      </c>
    </row>
    <row r="389" spans="1:8" x14ac:dyDescent="0.25">
      <c r="A389" s="4">
        <v>44291</v>
      </c>
      <c r="B389" s="5" t="s">
        <v>56</v>
      </c>
      <c r="C389" s="5" t="s">
        <v>68</v>
      </c>
      <c r="D389" s="5" t="s">
        <v>73</v>
      </c>
      <c r="E389" s="5" t="s">
        <v>87</v>
      </c>
      <c r="F389" s="5" t="s">
        <v>337</v>
      </c>
      <c r="G389" s="5">
        <v>0.5</v>
      </c>
      <c r="H389" s="5" t="s">
        <v>388</v>
      </c>
    </row>
    <row r="390" spans="1:8" x14ac:dyDescent="0.25">
      <c r="A390" s="4">
        <v>44291</v>
      </c>
      <c r="B390" s="5" t="s">
        <v>54</v>
      </c>
      <c r="C390" s="5" t="s">
        <v>68</v>
      </c>
      <c r="D390" s="5" t="s">
        <v>74</v>
      </c>
      <c r="E390" s="5" t="s">
        <v>84</v>
      </c>
      <c r="F390" s="5" t="s">
        <v>313</v>
      </c>
      <c r="G390" s="5">
        <v>1</v>
      </c>
      <c r="H390" s="5" t="s">
        <v>388</v>
      </c>
    </row>
    <row r="391" spans="1:8" x14ac:dyDescent="0.25">
      <c r="A391" s="4">
        <v>44291</v>
      </c>
      <c r="B391" s="5" t="s">
        <v>56</v>
      </c>
      <c r="C391" s="5" t="s">
        <v>68</v>
      </c>
      <c r="D391" s="5" t="s">
        <v>74</v>
      </c>
      <c r="E391" s="5" t="s">
        <v>84</v>
      </c>
      <c r="F391" s="5" t="s">
        <v>373</v>
      </c>
      <c r="G391" s="5">
        <v>0.5</v>
      </c>
      <c r="H391" s="5" t="s">
        <v>388</v>
      </c>
    </row>
    <row r="392" spans="1:8" x14ac:dyDescent="0.25">
      <c r="A392" s="4">
        <v>44291</v>
      </c>
      <c r="B392" s="5" t="s">
        <v>56</v>
      </c>
      <c r="C392" s="5" t="s">
        <v>68</v>
      </c>
      <c r="D392" s="5" t="s">
        <v>73</v>
      </c>
      <c r="E392" s="5" t="s">
        <v>87</v>
      </c>
      <c r="F392" s="5" t="s">
        <v>342</v>
      </c>
      <c r="G392" s="5">
        <v>1.5</v>
      </c>
      <c r="H392" s="5" t="s">
        <v>388</v>
      </c>
    </row>
    <row r="393" spans="1:8" x14ac:dyDescent="0.25">
      <c r="A393" s="4">
        <v>44291</v>
      </c>
      <c r="B393" s="5" t="s">
        <v>56</v>
      </c>
      <c r="C393" s="5" t="s">
        <v>68</v>
      </c>
      <c r="D393" s="5" t="s">
        <v>73</v>
      </c>
      <c r="E393" s="5" t="s">
        <v>87</v>
      </c>
      <c r="F393" s="5" t="s">
        <v>344</v>
      </c>
      <c r="G393" s="5">
        <v>0.5</v>
      </c>
      <c r="H393" s="5" t="s">
        <v>388</v>
      </c>
    </row>
    <row r="394" spans="1:8" x14ac:dyDescent="0.25">
      <c r="A394" s="4">
        <v>44291</v>
      </c>
      <c r="B394" s="5" t="s">
        <v>56</v>
      </c>
      <c r="C394" s="5" t="s">
        <v>68</v>
      </c>
      <c r="D394" s="5" t="s">
        <v>73</v>
      </c>
      <c r="E394" s="5" t="s">
        <v>87</v>
      </c>
      <c r="F394" s="5" t="s">
        <v>374</v>
      </c>
      <c r="G394" s="5">
        <v>1.5</v>
      </c>
      <c r="H394" s="5" t="s">
        <v>388</v>
      </c>
    </row>
    <row r="395" spans="1:8" x14ac:dyDescent="0.25">
      <c r="A395" s="4">
        <v>44291</v>
      </c>
      <c r="B395" s="5" t="s">
        <v>56</v>
      </c>
      <c r="C395" s="5" t="s">
        <v>68</v>
      </c>
      <c r="D395" s="5" t="s">
        <v>73</v>
      </c>
      <c r="E395" s="5" t="s">
        <v>87</v>
      </c>
      <c r="F395" s="5" t="s">
        <v>334</v>
      </c>
      <c r="G395" s="5">
        <v>0.5</v>
      </c>
      <c r="H395" s="5" t="s">
        <v>388</v>
      </c>
    </row>
    <row r="396" spans="1:8" x14ac:dyDescent="0.25">
      <c r="A396" s="4">
        <v>44291</v>
      </c>
      <c r="B396" s="5" t="s">
        <v>48</v>
      </c>
      <c r="C396" s="5" t="s">
        <v>70</v>
      </c>
      <c r="D396" s="5" t="s">
        <v>75</v>
      </c>
      <c r="E396" s="5" t="s">
        <v>86</v>
      </c>
      <c r="F396" s="5" t="s">
        <v>375</v>
      </c>
      <c r="G396" s="5">
        <v>0.75</v>
      </c>
      <c r="H396" s="5" t="s">
        <v>388</v>
      </c>
    </row>
    <row r="397" spans="1:8" x14ac:dyDescent="0.25">
      <c r="A397" s="4">
        <v>44291</v>
      </c>
      <c r="B397" s="5" t="s">
        <v>56</v>
      </c>
      <c r="C397" s="5" t="s">
        <v>68</v>
      </c>
      <c r="D397" s="5" t="s">
        <v>73</v>
      </c>
      <c r="E397" s="5" t="s">
        <v>79</v>
      </c>
      <c r="F397" s="5" t="s">
        <v>79</v>
      </c>
      <c r="G397" s="5">
        <v>1</v>
      </c>
      <c r="H397" s="5" t="s">
        <v>388</v>
      </c>
    </row>
    <row r="398" spans="1:8" x14ac:dyDescent="0.25">
      <c r="A398" s="4">
        <v>44291</v>
      </c>
      <c r="B398" s="5" t="s">
        <v>45</v>
      </c>
      <c r="C398" s="5" t="s">
        <v>68</v>
      </c>
      <c r="D398" s="5" t="s">
        <v>74</v>
      </c>
      <c r="E398" s="5" t="s">
        <v>84</v>
      </c>
      <c r="F398" s="5" t="s">
        <v>352</v>
      </c>
      <c r="G398" s="5">
        <v>2</v>
      </c>
      <c r="H398" s="5" t="s">
        <v>388</v>
      </c>
    </row>
    <row r="399" spans="1:8" x14ac:dyDescent="0.25">
      <c r="A399" s="4">
        <v>44291</v>
      </c>
      <c r="B399" s="5" t="s">
        <v>47</v>
      </c>
      <c r="C399" s="5" t="s">
        <v>69</v>
      </c>
      <c r="D399" s="5" t="s">
        <v>74</v>
      </c>
      <c r="E399" s="5" t="s">
        <v>84</v>
      </c>
      <c r="F399" s="5" t="s">
        <v>376</v>
      </c>
      <c r="G399" s="5">
        <v>3.5</v>
      </c>
      <c r="H399" s="5" t="s">
        <v>388</v>
      </c>
    </row>
    <row r="400" spans="1:8" x14ac:dyDescent="0.25">
      <c r="A400" s="4">
        <v>44291</v>
      </c>
      <c r="B400" s="5" t="s">
        <v>47</v>
      </c>
      <c r="C400" s="5" t="s">
        <v>69</v>
      </c>
      <c r="D400" s="5" t="s">
        <v>71</v>
      </c>
      <c r="E400" s="5" t="s">
        <v>86</v>
      </c>
      <c r="F400" s="5" t="s">
        <v>377</v>
      </c>
      <c r="G400" s="5">
        <v>1</v>
      </c>
      <c r="H400" s="5" t="s">
        <v>388</v>
      </c>
    </row>
    <row r="401" spans="1:8" x14ac:dyDescent="0.25">
      <c r="A401" s="4">
        <v>44291</v>
      </c>
      <c r="B401" s="5" t="s">
        <v>55</v>
      </c>
      <c r="C401" s="5" t="s">
        <v>70</v>
      </c>
      <c r="D401" s="5" t="s">
        <v>73</v>
      </c>
      <c r="E401" s="5" t="s">
        <v>76</v>
      </c>
      <c r="F401" s="5" t="s">
        <v>378</v>
      </c>
      <c r="G401" s="5">
        <v>1</v>
      </c>
      <c r="H401" s="5" t="s">
        <v>388</v>
      </c>
    </row>
    <row r="402" spans="1:8" x14ac:dyDescent="0.25">
      <c r="A402" s="4">
        <v>44291</v>
      </c>
      <c r="B402" s="5" t="s">
        <v>55</v>
      </c>
      <c r="C402" s="5" t="s">
        <v>70</v>
      </c>
      <c r="D402" s="5" t="s">
        <v>74</v>
      </c>
      <c r="E402" s="5" t="s">
        <v>84</v>
      </c>
      <c r="F402" s="5" t="s">
        <v>379</v>
      </c>
      <c r="G402" s="5">
        <v>1</v>
      </c>
      <c r="H402" s="5" t="s">
        <v>388</v>
      </c>
    </row>
    <row r="403" spans="1:8" x14ac:dyDescent="0.25">
      <c r="A403" s="4">
        <v>44291</v>
      </c>
      <c r="B403" s="5" t="s">
        <v>45</v>
      </c>
      <c r="C403" s="5" t="s">
        <v>68</v>
      </c>
      <c r="D403" s="5" t="s">
        <v>73</v>
      </c>
      <c r="E403" s="5" t="s">
        <v>79</v>
      </c>
      <c r="F403" s="5" t="s">
        <v>347</v>
      </c>
      <c r="G403" s="5">
        <v>1</v>
      </c>
      <c r="H403" s="5" t="s">
        <v>388</v>
      </c>
    </row>
    <row r="404" spans="1:8" x14ac:dyDescent="0.25">
      <c r="A404" s="4">
        <v>44291</v>
      </c>
      <c r="B404" s="5" t="s">
        <v>45</v>
      </c>
      <c r="C404" s="5" t="s">
        <v>68</v>
      </c>
      <c r="D404" s="5" t="s">
        <v>73</v>
      </c>
      <c r="E404" s="5" t="s">
        <v>79</v>
      </c>
      <c r="F404" s="5" t="s">
        <v>380</v>
      </c>
      <c r="G404" s="5">
        <v>1</v>
      </c>
      <c r="H404" s="5" t="s">
        <v>388</v>
      </c>
    </row>
    <row r="405" spans="1:8" x14ac:dyDescent="0.25">
      <c r="A405" s="4">
        <v>44291</v>
      </c>
      <c r="B405" s="5" t="s">
        <v>54</v>
      </c>
      <c r="C405" s="5" t="s">
        <v>68</v>
      </c>
      <c r="D405" s="5" t="s">
        <v>74</v>
      </c>
      <c r="E405" s="5" t="s">
        <v>84</v>
      </c>
      <c r="F405" s="5" t="s">
        <v>328</v>
      </c>
      <c r="G405" s="5">
        <v>1</v>
      </c>
      <c r="H405" s="5" t="s">
        <v>388</v>
      </c>
    </row>
    <row r="406" spans="1:8" x14ac:dyDescent="0.25">
      <c r="A406" s="4">
        <v>44291</v>
      </c>
      <c r="B406" s="5" t="s">
        <v>45</v>
      </c>
      <c r="C406" s="5" t="s">
        <v>68</v>
      </c>
      <c r="D406" s="5" t="s">
        <v>74</v>
      </c>
      <c r="E406" s="5" t="s">
        <v>84</v>
      </c>
      <c r="F406" s="5" t="s">
        <v>381</v>
      </c>
      <c r="G406" s="5">
        <v>1</v>
      </c>
      <c r="H406" s="5" t="s">
        <v>388</v>
      </c>
    </row>
    <row r="407" spans="1:8" x14ac:dyDescent="0.25">
      <c r="A407" s="4">
        <v>44291</v>
      </c>
      <c r="B407" s="5" t="s">
        <v>54</v>
      </c>
      <c r="C407" s="5" t="s">
        <v>68</v>
      </c>
      <c r="D407" s="5" t="s">
        <v>74</v>
      </c>
      <c r="E407" s="5" t="s">
        <v>84</v>
      </c>
      <c r="F407" s="5" t="s">
        <v>382</v>
      </c>
      <c r="G407" s="5">
        <v>1.5</v>
      </c>
      <c r="H407" s="5" t="s">
        <v>388</v>
      </c>
    </row>
    <row r="408" spans="1:8" x14ac:dyDescent="0.25">
      <c r="A408" s="4">
        <v>44291</v>
      </c>
      <c r="B408" s="5" t="s">
        <v>45</v>
      </c>
      <c r="C408" s="5" t="s">
        <v>68</v>
      </c>
      <c r="D408" s="5" t="s">
        <v>74</v>
      </c>
      <c r="E408" s="5" t="s">
        <v>84</v>
      </c>
      <c r="F408" s="5" t="s">
        <v>290</v>
      </c>
      <c r="G408" s="5">
        <v>2</v>
      </c>
      <c r="H408" s="5" t="s">
        <v>388</v>
      </c>
    </row>
    <row r="409" spans="1:8" x14ac:dyDescent="0.25">
      <c r="A409" s="4">
        <v>44291</v>
      </c>
      <c r="B409" s="5" t="s">
        <v>54</v>
      </c>
      <c r="C409" s="5" t="s">
        <v>68</v>
      </c>
      <c r="D409" s="5" t="s">
        <v>74</v>
      </c>
      <c r="E409" s="5" t="s">
        <v>82</v>
      </c>
      <c r="F409" s="5" t="s">
        <v>383</v>
      </c>
      <c r="G409" s="5">
        <v>1</v>
      </c>
      <c r="H409" s="5" t="s">
        <v>388</v>
      </c>
    </row>
    <row r="410" spans="1:8" x14ac:dyDescent="0.25">
      <c r="A410" s="4">
        <v>44291</v>
      </c>
      <c r="B410" s="5" t="s">
        <v>54</v>
      </c>
      <c r="C410" s="5" t="s">
        <v>68</v>
      </c>
      <c r="D410" s="5" t="s">
        <v>71</v>
      </c>
      <c r="E410" s="5" t="s">
        <v>86</v>
      </c>
      <c r="F410" s="5" t="s">
        <v>384</v>
      </c>
      <c r="G410" s="5">
        <v>2</v>
      </c>
      <c r="H410" s="5" t="s">
        <v>388</v>
      </c>
    </row>
    <row r="411" spans="1:8" x14ac:dyDescent="0.25">
      <c r="A411" s="4">
        <v>44291</v>
      </c>
      <c r="B411" s="5" t="s">
        <v>54</v>
      </c>
      <c r="C411" s="5" t="s">
        <v>68</v>
      </c>
      <c r="D411" s="5" t="s">
        <v>73</v>
      </c>
      <c r="E411" s="5" t="s">
        <v>76</v>
      </c>
      <c r="F411" s="5" t="s">
        <v>385</v>
      </c>
      <c r="G411" s="5">
        <v>0.5</v>
      </c>
      <c r="H411" s="5" t="s">
        <v>388</v>
      </c>
    </row>
    <row r="412" spans="1:8" x14ac:dyDescent="0.25">
      <c r="A412" s="4">
        <v>44291</v>
      </c>
      <c r="B412" s="5" t="s">
        <v>54</v>
      </c>
      <c r="C412" s="5" t="s">
        <v>68</v>
      </c>
      <c r="D412" s="5" t="s">
        <v>74</v>
      </c>
      <c r="E412" s="5" t="s">
        <v>84</v>
      </c>
      <c r="F412" s="5" t="s">
        <v>386</v>
      </c>
      <c r="G412" s="5">
        <v>1</v>
      </c>
      <c r="H412" s="5" t="s">
        <v>388</v>
      </c>
    </row>
    <row r="413" spans="1:8" x14ac:dyDescent="0.25">
      <c r="A413" s="4">
        <v>44291</v>
      </c>
      <c r="B413" s="5" t="s">
        <v>47</v>
      </c>
      <c r="C413" s="5" t="s">
        <v>69</v>
      </c>
      <c r="D413" s="5" t="s">
        <v>72</v>
      </c>
      <c r="E413" s="5" t="s">
        <v>90</v>
      </c>
      <c r="F413" s="5" t="s">
        <v>297</v>
      </c>
      <c r="G413" s="5">
        <v>1.5</v>
      </c>
      <c r="H413" s="5" t="s">
        <v>388</v>
      </c>
    </row>
    <row r="414" spans="1:8" x14ac:dyDescent="0.25">
      <c r="A414" s="4">
        <v>44291</v>
      </c>
      <c r="B414" s="5" t="s">
        <v>45</v>
      </c>
      <c r="C414" s="5" t="s">
        <v>68</v>
      </c>
      <c r="D414" s="5" t="s">
        <v>71</v>
      </c>
      <c r="E414" s="5" t="s">
        <v>86</v>
      </c>
      <c r="F414" s="5" t="s">
        <v>387</v>
      </c>
      <c r="G414" s="5">
        <v>2</v>
      </c>
      <c r="H414" s="5" t="s">
        <v>388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33B10-7526-4A67-BF2C-BBC5F2436F5F}">
  <sheetPr codeName="Sheet4" filterMode="1"/>
  <dimension ref="A1:F414"/>
  <sheetViews>
    <sheetView workbookViewId="0">
      <selection sqref="A1:F111"/>
    </sheetView>
  </sheetViews>
  <sheetFormatPr defaultRowHeight="15" x14ac:dyDescent="0.25"/>
  <cols>
    <col min="1" max="1" width="10.42578125" style="1" bestFit="1" customWidth="1"/>
    <col min="2" max="2" width="9.140625" style="1"/>
    <col min="3" max="3" width="20.140625" style="1" bestFit="1" customWidth="1"/>
    <col min="4" max="4" width="9.140625" style="1"/>
    <col min="5" max="5" width="13.7109375" style="1" bestFit="1" customWidth="1"/>
    <col min="6" max="6" width="17.5703125" style="1" bestFit="1" customWidth="1"/>
    <col min="7" max="16384" width="9.140625" style="1"/>
  </cols>
  <sheetData>
    <row r="1" spans="1:6" x14ac:dyDescent="0.25">
      <c r="A1" s="3" t="s">
        <v>0</v>
      </c>
      <c r="B1" s="3" t="s">
        <v>1</v>
      </c>
      <c r="C1" s="3" t="s">
        <v>2</v>
      </c>
      <c r="D1" s="1" t="s">
        <v>397</v>
      </c>
      <c r="E1" s="1" t="s">
        <v>396</v>
      </c>
      <c r="F1" s="1" t="s">
        <v>398</v>
      </c>
    </row>
    <row r="2" spans="1:6" hidden="1" x14ac:dyDescent="0.25">
      <c r="A2" s="4">
        <v>44287</v>
      </c>
      <c r="B2" s="5" t="s">
        <v>8</v>
      </c>
      <c r="C2" s="5" t="s">
        <v>57</v>
      </c>
      <c r="D2" s="1" t="str">
        <f>VLOOKUP(B2,'Team Detail'!B:C,2,FALSE)</f>
        <v>Offshore</v>
      </c>
      <c r="E2" s="1">
        <f>SUMIFS('RAW DATA'!$G$2:$G$50000,'RAW DATA'!$A$2:$A$50000,CALCULATION!A2,'RAW DATA'!$B$2:$B$50000,CALCULATION!B2)</f>
        <v>9.5</v>
      </c>
      <c r="F2" s="1" t="str">
        <f>IF(AND(D2="OFFSHORE",E2&gt;=9),"FILLED",IF(AND(D2="ONSHORE",E2&gt;=8),"FILLED","DEFAULTER"))</f>
        <v>FILLED</v>
      </c>
    </row>
    <row r="3" spans="1:6" hidden="1" x14ac:dyDescent="0.25">
      <c r="A3" s="4">
        <v>44287</v>
      </c>
      <c r="B3" s="5" t="s">
        <v>9</v>
      </c>
      <c r="C3" s="5" t="s">
        <v>57</v>
      </c>
      <c r="D3" s="1" t="str">
        <f>VLOOKUP(B3,'Team Detail'!B:C,2,FALSE)</f>
        <v>Offshore</v>
      </c>
      <c r="E3" s="1">
        <f>SUMIFS('RAW DATA'!$G$2:$G$50000,'RAW DATA'!$A$2:$A$50000,CALCULATION!A3,'RAW DATA'!$B$2:$B$50000,CALCULATION!B3)</f>
        <v>9</v>
      </c>
      <c r="F3" s="1" t="str">
        <f t="shared" ref="F3:F66" si="0">IF(AND(D3="OFFSHORE",E3&gt;=9),"FILLED",IF(AND(D3="ONSHORE",E3&gt;=8),"FILLED","DEFAULTER"))</f>
        <v>FILLED</v>
      </c>
    </row>
    <row r="4" spans="1:6" hidden="1" x14ac:dyDescent="0.25">
      <c r="A4" s="4">
        <v>44287</v>
      </c>
      <c r="B4" s="5" t="s">
        <v>10</v>
      </c>
      <c r="C4" s="5" t="s">
        <v>57</v>
      </c>
      <c r="D4" s="1" t="str">
        <f>VLOOKUP(B4,'Team Detail'!B:C,2,FALSE)</f>
        <v>Offshore</v>
      </c>
      <c r="E4" s="1">
        <f>SUMIFS('RAW DATA'!$G$2:$G$50000,'RAW DATA'!$A$2:$A$50000,CALCULATION!A4,'RAW DATA'!$B$2:$B$50000,CALCULATION!B4)</f>
        <v>9</v>
      </c>
      <c r="F4" s="1" t="str">
        <f t="shared" si="0"/>
        <v>FILLED</v>
      </c>
    </row>
    <row r="5" spans="1:6" x14ac:dyDescent="0.25">
      <c r="A5" s="4">
        <v>44287</v>
      </c>
      <c r="B5" s="5" t="s">
        <v>11</v>
      </c>
      <c r="C5" s="5" t="s">
        <v>57</v>
      </c>
      <c r="D5" s="1" t="str">
        <f>VLOOKUP(B5,'Team Detail'!B:C,2,FALSE)</f>
        <v>Onshore</v>
      </c>
      <c r="E5" s="1">
        <f>SUMIFS('RAW DATA'!$G$2:$G$50000,'RAW DATA'!$A$2:$A$50000,CALCULATION!A5,'RAW DATA'!$B$2:$B$50000,CALCULATION!B5)</f>
        <v>5</v>
      </c>
      <c r="F5" s="1" t="str">
        <f t="shared" si="0"/>
        <v>DEFAULTER</v>
      </c>
    </row>
    <row r="6" spans="1:6" hidden="1" x14ac:dyDescent="0.25">
      <c r="A6" s="4">
        <v>44287</v>
      </c>
      <c r="B6" s="5" t="s">
        <v>12</v>
      </c>
      <c r="C6" s="5" t="s">
        <v>58</v>
      </c>
      <c r="D6" s="1" t="str">
        <f>VLOOKUP(B6,'Team Detail'!B:C,2,FALSE)</f>
        <v>Offshore</v>
      </c>
      <c r="E6" s="1">
        <f>SUMIFS('RAW DATA'!$G$2:$G$50000,'RAW DATA'!$A$2:$A$50000,CALCULATION!A6,'RAW DATA'!$B$2:$B$50000,CALCULATION!B6)</f>
        <v>9</v>
      </c>
      <c r="F6" s="1" t="str">
        <f t="shared" si="0"/>
        <v>FILLED</v>
      </c>
    </row>
    <row r="7" spans="1:6" hidden="1" x14ac:dyDescent="0.25">
      <c r="A7" s="4">
        <v>44288</v>
      </c>
      <c r="B7" s="5" t="s">
        <v>11</v>
      </c>
      <c r="C7" s="5" t="s">
        <v>57</v>
      </c>
      <c r="D7" s="1" t="str">
        <f>VLOOKUP(B7,'Team Detail'!B:C,2,FALSE)</f>
        <v>Onshore</v>
      </c>
      <c r="E7" s="1">
        <f>SUMIFS('RAW DATA'!$G$2:$G$50000,'RAW DATA'!$A$2:$A$50000,CALCULATION!A7,'RAW DATA'!$B$2:$B$50000,CALCULATION!B7)</f>
        <v>9</v>
      </c>
      <c r="F7" s="1" t="str">
        <f t="shared" si="0"/>
        <v>FILLED</v>
      </c>
    </row>
    <row r="8" spans="1:6" hidden="1" x14ac:dyDescent="0.25">
      <c r="A8" s="4">
        <v>44288</v>
      </c>
      <c r="B8" s="5" t="s">
        <v>12</v>
      </c>
      <c r="C8" s="5" t="s">
        <v>58</v>
      </c>
      <c r="D8" s="1" t="str">
        <f>VLOOKUP(B8,'Team Detail'!B:C,2,FALSE)</f>
        <v>Offshore</v>
      </c>
      <c r="E8" s="1">
        <f>SUMIFS('RAW DATA'!$G$2:$G$50000,'RAW DATA'!$A$2:$A$50000,CALCULATION!A8,'RAW DATA'!$B$2:$B$50000,CALCULATION!B8)</f>
        <v>9</v>
      </c>
      <c r="F8" s="1" t="str">
        <f t="shared" si="0"/>
        <v>FILLED</v>
      </c>
    </row>
    <row r="9" spans="1:6" hidden="1" x14ac:dyDescent="0.25">
      <c r="A9" s="4">
        <v>44288</v>
      </c>
      <c r="B9" s="5" t="s">
        <v>10</v>
      </c>
      <c r="C9" s="5" t="s">
        <v>57</v>
      </c>
      <c r="D9" s="1" t="str">
        <f>VLOOKUP(B9,'Team Detail'!B:C,2,FALSE)</f>
        <v>Offshore</v>
      </c>
      <c r="E9" s="1">
        <f>SUMIFS('RAW DATA'!$G$2:$G$50000,'RAW DATA'!$A$2:$A$50000,CALCULATION!A9,'RAW DATA'!$B$2:$B$50000,CALCULATION!B9)</f>
        <v>9</v>
      </c>
      <c r="F9" s="1" t="str">
        <f t="shared" si="0"/>
        <v>FILLED</v>
      </c>
    </row>
    <row r="10" spans="1:6" hidden="1" x14ac:dyDescent="0.25">
      <c r="A10" s="4">
        <v>44287</v>
      </c>
      <c r="B10" s="5" t="s">
        <v>13</v>
      </c>
      <c r="C10" s="5" t="s">
        <v>59</v>
      </c>
      <c r="D10" s="1" t="str">
        <f>VLOOKUP(B10,'Team Detail'!B:C,2,FALSE)</f>
        <v>Onshore</v>
      </c>
      <c r="E10" s="1">
        <f>SUMIFS('RAW DATA'!$G$2:$G$50000,'RAW DATA'!$A$2:$A$50000,CALCULATION!A10,'RAW DATA'!$B$2:$B$50000,CALCULATION!B10)</f>
        <v>12</v>
      </c>
      <c r="F10" s="1" t="str">
        <f t="shared" si="0"/>
        <v>FILLED</v>
      </c>
    </row>
    <row r="11" spans="1:6" hidden="1" x14ac:dyDescent="0.25">
      <c r="A11" s="4">
        <v>44287</v>
      </c>
      <c r="B11" s="5" t="s">
        <v>14</v>
      </c>
      <c r="C11" s="5" t="s">
        <v>60</v>
      </c>
      <c r="D11" s="1" t="str">
        <f>VLOOKUP(B11,'Team Detail'!B:C,2,FALSE)</f>
        <v>Offshore</v>
      </c>
      <c r="E11" s="1">
        <f>SUMIFS('RAW DATA'!$G$2:$G$50000,'RAW DATA'!$A$2:$A$50000,CALCULATION!A11,'RAW DATA'!$B$2:$B$50000,CALCULATION!B11)</f>
        <v>9</v>
      </c>
      <c r="F11" s="1" t="str">
        <f t="shared" si="0"/>
        <v>FILLED</v>
      </c>
    </row>
    <row r="12" spans="1:6" hidden="1" x14ac:dyDescent="0.25">
      <c r="A12" s="4">
        <v>44287</v>
      </c>
      <c r="B12" s="5" t="s">
        <v>15</v>
      </c>
      <c r="C12" s="5" t="s">
        <v>59</v>
      </c>
      <c r="D12" s="1" t="str">
        <f>VLOOKUP(B12,'Team Detail'!B:C,2,FALSE)</f>
        <v>Offshore</v>
      </c>
      <c r="E12" s="1">
        <f>SUMIFS('RAW DATA'!$G$2:$G$50000,'RAW DATA'!$A$2:$A$50000,CALCULATION!A12,'RAW DATA'!$B$2:$B$50000,CALCULATION!B12)</f>
        <v>9</v>
      </c>
      <c r="F12" s="1" t="str">
        <f t="shared" si="0"/>
        <v>FILLED</v>
      </c>
    </row>
    <row r="13" spans="1:6" hidden="1" x14ac:dyDescent="0.25">
      <c r="A13" s="4">
        <v>44287</v>
      </c>
      <c r="B13" s="5" t="s">
        <v>16</v>
      </c>
      <c r="C13" s="5" t="s">
        <v>59</v>
      </c>
      <c r="D13" s="1" t="str">
        <f>VLOOKUP(B13,'Team Detail'!B:C,2,FALSE)</f>
        <v>Onshore</v>
      </c>
      <c r="E13" s="1">
        <f>SUMIFS('RAW DATA'!$G$2:$G$50000,'RAW DATA'!$A$2:$A$50000,CALCULATION!A13,'RAW DATA'!$B$2:$B$50000,CALCULATION!B13)</f>
        <v>9</v>
      </c>
      <c r="F13" s="1" t="str">
        <f t="shared" si="0"/>
        <v>FILLED</v>
      </c>
    </row>
    <row r="14" spans="1:6" hidden="1" x14ac:dyDescent="0.25">
      <c r="A14" s="4">
        <v>44287</v>
      </c>
      <c r="B14" s="5" t="s">
        <v>17</v>
      </c>
      <c r="C14" s="5" t="s">
        <v>60</v>
      </c>
      <c r="D14" s="1" t="str">
        <f>VLOOKUP(B14,'Team Detail'!B:C,2,FALSE)</f>
        <v>Offshore</v>
      </c>
      <c r="E14" s="1">
        <f>SUMIFS('RAW DATA'!$G$2:$G$50000,'RAW DATA'!$A$2:$A$50000,CALCULATION!A14,'RAW DATA'!$B$2:$B$50000,CALCULATION!B14)</f>
        <v>9</v>
      </c>
      <c r="F14" s="1" t="str">
        <f t="shared" si="0"/>
        <v>FILLED</v>
      </c>
    </row>
    <row r="15" spans="1:6" hidden="1" x14ac:dyDescent="0.25">
      <c r="A15" s="4">
        <v>44287</v>
      </c>
      <c r="B15" s="5" t="s">
        <v>18</v>
      </c>
      <c r="C15" s="5" t="s">
        <v>59</v>
      </c>
      <c r="D15" s="1" t="str">
        <f>VLOOKUP(B15,'Team Detail'!B:C,2,FALSE)</f>
        <v>Offshore</v>
      </c>
      <c r="E15" s="1">
        <f>SUMIFS('RAW DATA'!$G$2:$G$50000,'RAW DATA'!$A$2:$A$50000,CALCULATION!A15,'RAW DATA'!$B$2:$B$50000,CALCULATION!B15)</f>
        <v>9</v>
      </c>
      <c r="F15" s="1" t="str">
        <f t="shared" si="0"/>
        <v>FILLED</v>
      </c>
    </row>
    <row r="16" spans="1:6" hidden="1" x14ac:dyDescent="0.25">
      <c r="A16" s="4">
        <v>44287</v>
      </c>
      <c r="B16" s="5" t="s">
        <v>19</v>
      </c>
      <c r="C16" s="5" t="s">
        <v>59</v>
      </c>
      <c r="D16" s="1" t="str">
        <f>VLOOKUP(B16,'Team Detail'!B:C,2,FALSE)</f>
        <v>Offshore</v>
      </c>
      <c r="E16" s="1">
        <f>SUMIFS('RAW DATA'!$G$2:$G$50000,'RAW DATA'!$A$2:$A$50000,CALCULATION!A16,'RAW DATA'!$B$2:$B$50000,CALCULATION!B16)</f>
        <v>9</v>
      </c>
      <c r="F16" s="1" t="str">
        <f t="shared" si="0"/>
        <v>FILLED</v>
      </c>
    </row>
    <row r="17" spans="1:6" hidden="1" x14ac:dyDescent="0.25">
      <c r="A17" s="4">
        <v>44287</v>
      </c>
      <c r="B17" s="5" t="s">
        <v>20</v>
      </c>
      <c r="C17" s="5" t="s">
        <v>59</v>
      </c>
      <c r="D17" s="1" t="str">
        <f>VLOOKUP(B17,'Team Detail'!B:C,2,FALSE)</f>
        <v>Offshore</v>
      </c>
      <c r="E17" s="1">
        <f>SUMIFS('RAW DATA'!$G$2:$G$50000,'RAW DATA'!$A$2:$A$50000,CALCULATION!A17,'RAW DATA'!$B$2:$B$50000,CALCULATION!B17)</f>
        <v>9</v>
      </c>
      <c r="F17" s="1" t="str">
        <f t="shared" si="0"/>
        <v>FILLED</v>
      </c>
    </row>
    <row r="18" spans="1:6" hidden="1" x14ac:dyDescent="0.25">
      <c r="A18" s="4">
        <v>44287</v>
      </c>
      <c r="B18" s="5" t="s">
        <v>21</v>
      </c>
      <c r="C18" s="5" t="s">
        <v>61</v>
      </c>
      <c r="D18" s="1" t="str">
        <f>VLOOKUP(B18,'Team Detail'!B:C,2,FALSE)</f>
        <v>Offshore</v>
      </c>
      <c r="E18" s="1">
        <f>SUMIFS('RAW DATA'!$G$2:$G$50000,'RAW DATA'!$A$2:$A$50000,CALCULATION!A18,'RAW DATA'!$B$2:$B$50000,CALCULATION!B18)</f>
        <v>9</v>
      </c>
      <c r="F18" s="1" t="str">
        <f t="shared" si="0"/>
        <v>FILLED</v>
      </c>
    </row>
    <row r="19" spans="1:6" hidden="1" x14ac:dyDescent="0.25">
      <c r="A19" s="4">
        <v>44287</v>
      </c>
      <c r="B19" s="5" t="s">
        <v>22</v>
      </c>
      <c r="C19" s="5" t="s">
        <v>59</v>
      </c>
      <c r="D19" s="1" t="str">
        <f>VLOOKUP(B19,'Team Detail'!B:C,2,FALSE)</f>
        <v>Offshore</v>
      </c>
      <c r="E19" s="1">
        <f>SUMIFS('RAW DATA'!$G$2:$G$50000,'RAW DATA'!$A$2:$A$50000,CALCULATION!A19,'RAW DATA'!$B$2:$B$50000,CALCULATION!B19)</f>
        <v>9</v>
      </c>
      <c r="F19" s="1" t="str">
        <f t="shared" si="0"/>
        <v>FILLED</v>
      </c>
    </row>
    <row r="20" spans="1:6" hidden="1" x14ac:dyDescent="0.25">
      <c r="A20" s="4">
        <v>44287</v>
      </c>
      <c r="B20" s="5" t="s">
        <v>23</v>
      </c>
      <c r="C20" s="5" t="s">
        <v>59</v>
      </c>
      <c r="D20" s="1" t="str">
        <f>VLOOKUP(B20,'Team Detail'!B:C,2,FALSE)</f>
        <v>Offshore</v>
      </c>
      <c r="E20" s="1">
        <f>SUMIFS('RAW DATA'!$G$2:$G$50000,'RAW DATA'!$A$2:$A$50000,CALCULATION!A20,'RAW DATA'!$B$2:$B$50000,CALCULATION!B20)</f>
        <v>9</v>
      </c>
      <c r="F20" s="1" t="str">
        <f t="shared" si="0"/>
        <v>FILLED</v>
      </c>
    </row>
    <row r="21" spans="1:6" hidden="1" x14ac:dyDescent="0.25">
      <c r="A21" s="4">
        <v>44287</v>
      </c>
      <c r="B21" s="5" t="s">
        <v>24</v>
      </c>
      <c r="C21" s="5" t="s">
        <v>61</v>
      </c>
      <c r="D21" s="1" t="str">
        <f>VLOOKUP(B21,'Team Detail'!B:C,2,FALSE)</f>
        <v>Offshore</v>
      </c>
      <c r="E21" s="1">
        <f>SUMIFS('RAW DATA'!$G$2:$G$50000,'RAW DATA'!$A$2:$A$50000,CALCULATION!A21,'RAW DATA'!$B$2:$B$50000,CALCULATION!B21)</f>
        <v>9</v>
      </c>
      <c r="F21" s="1" t="str">
        <f t="shared" si="0"/>
        <v>FILLED</v>
      </c>
    </row>
    <row r="22" spans="1:6" hidden="1" x14ac:dyDescent="0.25">
      <c r="A22" s="4">
        <v>44287</v>
      </c>
      <c r="B22" s="5" t="s">
        <v>25</v>
      </c>
      <c r="C22" s="5" t="s">
        <v>60</v>
      </c>
      <c r="D22" s="1" t="str">
        <f>VLOOKUP(B22,'Team Detail'!B:C,2,FALSE)</f>
        <v>Onshore</v>
      </c>
      <c r="E22" s="1">
        <f>SUMIFS('RAW DATA'!$G$2:$G$50000,'RAW DATA'!$A$2:$A$50000,CALCULATION!A22,'RAW DATA'!$B$2:$B$50000,CALCULATION!B22)</f>
        <v>9</v>
      </c>
      <c r="F22" s="1" t="str">
        <f t="shared" si="0"/>
        <v>FILLED</v>
      </c>
    </row>
    <row r="23" spans="1:6" hidden="1" x14ac:dyDescent="0.25">
      <c r="A23" s="4">
        <v>44287</v>
      </c>
      <c r="B23" s="5" t="s">
        <v>26</v>
      </c>
      <c r="C23" s="5" t="s">
        <v>59</v>
      </c>
      <c r="D23" s="1" t="str">
        <f>VLOOKUP(B23,'Team Detail'!B:C,2,FALSE)</f>
        <v>Offshore</v>
      </c>
      <c r="E23" s="1">
        <f>SUMIFS('RAW DATA'!$G$2:$G$50000,'RAW DATA'!$A$2:$A$50000,CALCULATION!A23,'RAW DATA'!$B$2:$B$50000,CALCULATION!B23)</f>
        <v>9</v>
      </c>
      <c r="F23" s="1" t="str">
        <f t="shared" si="0"/>
        <v>FILLED</v>
      </c>
    </row>
    <row r="24" spans="1:6" hidden="1" x14ac:dyDescent="0.25">
      <c r="A24" s="4">
        <v>44287</v>
      </c>
      <c r="B24" s="5" t="s">
        <v>27</v>
      </c>
      <c r="C24" s="5" t="s">
        <v>59</v>
      </c>
      <c r="D24" s="1" t="str">
        <f>VLOOKUP(B24,'Team Detail'!B:C,2,FALSE)</f>
        <v>Offshore</v>
      </c>
      <c r="E24" s="1">
        <f>SUMIFS('RAW DATA'!$G$2:$G$50000,'RAW DATA'!$A$2:$A$50000,CALCULATION!A24,'RAW DATA'!$B$2:$B$50000,CALCULATION!B24)</f>
        <v>9</v>
      </c>
      <c r="F24" s="1" t="str">
        <f t="shared" si="0"/>
        <v>FILLED</v>
      </c>
    </row>
    <row r="25" spans="1:6" hidden="1" x14ac:dyDescent="0.25">
      <c r="A25" s="4">
        <v>44287</v>
      </c>
      <c r="B25" s="5" t="s">
        <v>28</v>
      </c>
      <c r="C25" s="5" t="s">
        <v>59</v>
      </c>
      <c r="D25" s="1" t="str">
        <f>VLOOKUP(B25,'Team Detail'!B:C,2,FALSE)</f>
        <v>Offshore</v>
      </c>
      <c r="E25" s="1">
        <f>SUMIFS('RAW DATA'!$G$2:$G$50000,'RAW DATA'!$A$2:$A$50000,CALCULATION!A25,'RAW DATA'!$B$2:$B$50000,CALCULATION!B25)</f>
        <v>9</v>
      </c>
      <c r="F25" s="1" t="str">
        <f t="shared" si="0"/>
        <v>FILLED</v>
      </c>
    </row>
    <row r="26" spans="1:6" hidden="1" x14ac:dyDescent="0.25">
      <c r="A26" s="4">
        <v>44287</v>
      </c>
      <c r="B26" s="5" t="s">
        <v>29</v>
      </c>
      <c r="C26" s="5" t="s">
        <v>59</v>
      </c>
      <c r="D26" s="1" t="str">
        <f>VLOOKUP(B26,'Team Detail'!B:C,2,FALSE)</f>
        <v>Offshore</v>
      </c>
      <c r="E26" s="1">
        <f>SUMIFS('RAW DATA'!$G$2:$G$50000,'RAW DATA'!$A$2:$A$50000,CALCULATION!A26,'RAW DATA'!$B$2:$B$50000,CALCULATION!B26)</f>
        <v>9</v>
      </c>
      <c r="F26" s="1" t="str">
        <f t="shared" si="0"/>
        <v>FILLED</v>
      </c>
    </row>
    <row r="27" spans="1:6" hidden="1" x14ac:dyDescent="0.25">
      <c r="A27" s="4">
        <v>44287</v>
      </c>
      <c r="B27" s="5" t="s">
        <v>30</v>
      </c>
      <c r="C27" s="5" t="s">
        <v>59</v>
      </c>
      <c r="D27" s="1" t="str">
        <f>VLOOKUP(B27,'Team Detail'!B:C,2,FALSE)</f>
        <v>Offshore</v>
      </c>
      <c r="E27" s="1">
        <f>SUMIFS('RAW DATA'!$G$2:$G$50000,'RAW DATA'!$A$2:$A$50000,CALCULATION!A27,'RAW DATA'!$B$2:$B$50000,CALCULATION!B27)</f>
        <v>9</v>
      </c>
      <c r="F27" s="1" t="str">
        <f t="shared" si="0"/>
        <v>FILLED</v>
      </c>
    </row>
    <row r="28" spans="1:6" hidden="1" x14ac:dyDescent="0.25">
      <c r="A28" s="4">
        <v>44287</v>
      </c>
      <c r="B28" s="5" t="s">
        <v>31</v>
      </c>
      <c r="C28" s="5" t="s">
        <v>59</v>
      </c>
      <c r="D28" s="1" t="str">
        <f>VLOOKUP(B28,'Team Detail'!B:C,2,FALSE)</f>
        <v>Offshore</v>
      </c>
      <c r="E28" s="1">
        <f>SUMIFS('RAW DATA'!$G$2:$G$50000,'RAW DATA'!$A$2:$A$50000,CALCULATION!A28,'RAW DATA'!$B$2:$B$50000,CALCULATION!B28)</f>
        <v>9</v>
      </c>
      <c r="F28" s="1" t="str">
        <f t="shared" si="0"/>
        <v>FILLED</v>
      </c>
    </row>
    <row r="29" spans="1:6" hidden="1" x14ac:dyDescent="0.25">
      <c r="A29" s="4">
        <v>44288</v>
      </c>
      <c r="B29" s="5" t="s">
        <v>29</v>
      </c>
      <c r="C29" s="5" t="s">
        <v>59</v>
      </c>
      <c r="D29" s="1" t="str">
        <f>VLOOKUP(B29,'Team Detail'!B:C,2,FALSE)</f>
        <v>Offshore</v>
      </c>
      <c r="E29" s="1">
        <f>SUMIFS('RAW DATA'!$G$2:$G$50000,'RAW DATA'!$A$2:$A$50000,CALCULATION!A29,'RAW DATA'!$B$2:$B$50000,CALCULATION!B29)</f>
        <v>9</v>
      </c>
      <c r="F29" s="1" t="str">
        <f t="shared" si="0"/>
        <v>FILLED</v>
      </c>
    </row>
    <row r="30" spans="1:6" x14ac:dyDescent="0.25">
      <c r="A30" s="4">
        <v>44288</v>
      </c>
      <c r="B30" s="5" t="s">
        <v>19</v>
      </c>
      <c r="C30" s="5" t="s">
        <v>59</v>
      </c>
      <c r="D30" s="1" t="str">
        <f>VLOOKUP(B30,'Team Detail'!B:C,2,FALSE)</f>
        <v>Offshore</v>
      </c>
      <c r="E30" s="1">
        <f>SUMIFS('RAW DATA'!$G$2:$G$50000,'RAW DATA'!$A$2:$A$50000,CALCULATION!A30,'RAW DATA'!$B$2:$B$50000,CALCULATION!B30)</f>
        <v>0</v>
      </c>
      <c r="F30" s="1" t="str">
        <f t="shared" si="0"/>
        <v>DEFAULTER</v>
      </c>
    </row>
    <row r="31" spans="1:6" x14ac:dyDescent="0.25">
      <c r="A31" s="4">
        <v>44288</v>
      </c>
      <c r="B31" s="5" t="s">
        <v>28</v>
      </c>
      <c r="C31" s="5" t="s">
        <v>59</v>
      </c>
      <c r="D31" s="1" t="str">
        <f>VLOOKUP(B31,'Team Detail'!B:C,2,FALSE)</f>
        <v>Offshore</v>
      </c>
      <c r="E31" s="1">
        <f>SUMIFS('RAW DATA'!$G$2:$G$50000,'RAW DATA'!$A$2:$A$50000,CALCULATION!A31,'RAW DATA'!$B$2:$B$50000,CALCULATION!B31)</f>
        <v>0</v>
      </c>
      <c r="F31" s="1" t="str">
        <f t="shared" si="0"/>
        <v>DEFAULTER</v>
      </c>
    </row>
    <row r="32" spans="1:6" hidden="1" x14ac:dyDescent="0.25">
      <c r="A32" s="4">
        <v>44288</v>
      </c>
      <c r="B32" s="5" t="s">
        <v>24</v>
      </c>
      <c r="C32" s="5" t="s">
        <v>61</v>
      </c>
      <c r="D32" s="1" t="str">
        <f>VLOOKUP(B32,'Team Detail'!B:C,2,FALSE)</f>
        <v>Offshore</v>
      </c>
      <c r="E32" s="1">
        <f>SUMIFS('RAW DATA'!$G$2:$G$50000,'RAW DATA'!$A$2:$A$50000,CALCULATION!A32,'RAW DATA'!$B$2:$B$50000,CALCULATION!B32)</f>
        <v>9</v>
      </c>
      <c r="F32" s="1" t="str">
        <f t="shared" si="0"/>
        <v>FILLED</v>
      </c>
    </row>
    <row r="33" spans="1:6" x14ac:dyDescent="0.25">
      <c r="A33" s="4">
        <v>44288</v>
      </c>
      <c r="B33" s="5" t="s">
        <v>23</v>
      </c>
      <c r="C33" s="5" t="s">
        <v>59</v>
      </c>
      <c r="D33" s="1" t="str">
        <f>VLOOKUP(B33,'Team Detail'!B:C,2,FALSE)</f>
        <v>Offshore</v>
      </c>
      <c r="E33" s="1">
        <f>SUMIFS('RAW DATA'!$G$2:$G$50000,'RAW DATA'!$A$2:$A$50000,CALCULATION!A33,'RAW DATA'!$B$2:$B$50000,CALCULATION!B33)</f>
        <v>0</v>
      </c>
      <c r="F33" s="1" t="str">
        <f t="shared" si="0"/>
        <v>DEFAULTER</v>
      </c>
    </row>
    <row r="34" spans="1:6" hidden="1" x14ac:dyDescent="0.25">
      <c r="A34" s="4">
        <v>44288</v>
      </c>
      <c r="B34" s="5" t="s">
        <v>25</v>
      </c>
      <c r="C34" s="5" t="s">
        <v>60</v>
      </c>
      <c r="D34" s="1" t="str">
        <f>VLOOKUP(B34,'Team Detail'!B:C,2,FALSE)</f>
        <v>Onshore</v>
      </c>
      <c r="E34" s="1">
        <f>SUMIFS('RAW DATA'!$G$2:$G$50000,'RAW DATA'!$A$2:$A$50000,CALCULATION!A34,'RAW DATA'!$B$2:$B$50000,CALCULATION!B34)</f>
        <v>9</v>
      </c>
      <c r="F34" s="1" t="str">
        <f t="shared" si="0"/>
        <v>FILLED</v>
      </c>
    </row>
    <row r="35" spans="1:6" x14ac:dyDescent="0.25">
      <c r="A35" s="4">
        <v>44288</v>
      </c>
      <c r="B35" s="5" t="s">
        <v>20</v>
      </c>
      <c r="C35" s="5" t="s">
        <v>59</v>
      </c>
      <c r="D35" s="1" t="str">
        <f>VLOOKUP(B35,'Team Detail'!B:C,2,FALSE)</f>
        <v>Offshore</v>
      </c>
      <c r="E35" s="1">
        <f>SUMIFS('RAW DATA'!$G$2:$G$50000,'RAW DATA'!$A$2:$A$50000,CALCULATION!A35,'RAW DATA'!$B$2:$B$50000,CALCULATION!B35)</f>
        <v>0</v>
      </c>
      <c r="F35" s="1" t="str">
        <f t="shared" si="0"/>
        <v>DEFAULTER</v>
      </c>
    </row>
    <row r="36" spans="1:6" x14ac:dyDescent="0.25">
      <c r="A36" s="4">
        <v>44288</v>
      </c>
      <c r="B36" s="5" t="s">
        <v>14</v>
      </c>
      <c r="C36" s="5" t="s">
        <v>60</v>
      </c>
      <c r="D36" s="1" t="str">
        <f>VLOOKUP(B36,'Team Detail'!B:C,2,FALSE)</f>
        <v>Offshore</v>
      </c>
      <c r="E36" s="1">
        <f>SUMIFS('RAW DATA'!$G$2:$G$50000,'RAW DATA'!$A$2:$A$50000,CALCULATION!A36,'RAW DATA'!$B$2:$B$50000,CALCULATION!B36)</f>
        <v>4</v>
      </c>
      <c r="F36" s="1" t="str">
        <f t="shared" si="0"/>
        <v>DEFAULTER</v>
      </c>
    </row>
    <row r="37" spans="1:6" x14ac:dyDescent="0.25">
      <c r="A37" s="4">
        <v>44288</v>
      </c>
      <c r="B37" s="5" t="s">
        <v>27</v>
      </c>
      <c r="C37" s="5" t="s">
        <v>59</v>
      </c>
      <c r="D37" s="1" t="str">
        <f>VLOOKUP(B37,'Team Detail'!B:C,2,FALSE)</f>
        <v>Offshore</v>
      </c>
      <c r="E37" s="1">
        <f>SUMIFS('RAW DATA'!$G$2:$G$50000,'RAW DATA'!$A$2:$A$50000,CALCULATION!A37,'RAW DATA'!$B$2:$B$50000,CALCULATION!B37)</f>
        <v>0</v>
      </c>
      <c r="F37" s="1" t="str">
        <f t="shared" si="0"/>
        <v>DEFAULTER</v>
      </c>
    </row>
    <row r="38" spans="1:6" hidden="1" x14ac:dyDescent="0.25">
      <c r="A38" s="4">
        <v>44288</v>
      </c>
      <c r="B38" s="5" t="s">
        <v>21</v>
      </c>
      <c r="C38" s="5" t="s">
        <v>61</v>
      </c>
      <c r="D38" s="1" t="str">
        <f>VLOOKUP(B38,'Team Detail'!B:C,2,FALSE)</f>
        <v>Offshore</v>
      </c>
      <c r="E38" s="1">
        <f>SUMIFS('RAW DATA'!$G$2:$G$50000,'RAW DATA'!$A$2:$A$50000,CALCULATION!A38,'RAW DATA'!$B$2:$B$50000,CALCULATION!B38)</f>
        <v>9</v>
      </c>
      <c r="F38" s="1" t="str">
        <f t="shared" si="0"/>
        <v>FILLED</v>
      </c>
    </row>
    <row r="39" spans="1:6" x14ac:dyDescent="0.25">
      <c r="A39" s="4">
        <v>44288</v>
      </c>
      <c r="B39" s="5" t="s">
        <v>16</v>
      </c>
      <c r="C39" s="5" t="s">
        <v>59</v>
      </c>
      <c r="D39" s="1" t="str">
        <f>VLOOKUP(B39,'Team Detail'!B:C,2,FALSE)</f>
        <v>Onshore</v>
      </c>
      <c r="E39" s="1">
        <f>SUMIFS('RAW DATA'!$G$2:$G$50000,'RAW DATA'!$A$2:$A$50000,CALCULATION!A39,'RAW DATA'!$B$2:$B$50000,CALCULATION!B39)</f>
        <v>0</v>
      </c>
      <c r="F39" s="1" t="str">
        <f t="shared" si="0"/>
        <v>DEFAULTER</v>
      </c>
    </row>
    <row r="40" spans="1:6" x14ac:dyDescent="0.25">
      <c r="A40" s="4">
        <v>44288</v>
      </c>
      <c r="B40" s="5" t="s">
        <v>17</v>
      </c>
      <c r="C40" s="5" t="s">
        <v>60</v>
      </c>
      <c r="D40" s="1" t="str">
        <f>VLOOKUP(B40,'Team Detail'!B:C,2,FALSE)</f>
        <v>Offshore</v>
      </c>
      <c r="E40" s="1">
        <f>SUMIFS('RAW DATA'!$G$2:$G$50000,'RAW DATA'!$A$2:$A$50000,CALCULATION!A40,'RAW DATA'!$B$2:$B$50000,CALCULATION!B40)</f>
        <v>5</v>
      </c>
      <c r="F40" s="1" t="str">
        <f t="shared" si="0"/>
        <v>DEFAULTER</v>
      </c>
    </row>
    <row r="41" spans="1:6" x14ac:dyDescent="0.25">
      <c r="A41" s="4">
        <v>44288</v>
      </c>
      <c r="B41" s="5" t="s">
        <v>31</v>
      </c>
      <c r="C41" s="5" t="s">
        <v>59</v>
      </c>
      <c r="D41" s="1" t="str">
        <f>VLOOKUP(B41,'Team Detail'!B:C,2,FALSE)</f>
        <v>Offshore</v>
      </c>
      <c r="E41" s="1">
        <f>SUMIFS('RAW DATA'!$G$2:$G$50000,'RAW DATA'!$A$2:$A$50000,CALCULATION!A41,'RAW DATA'!$B$2:$B$50000,CALCULATION!B41)</f>
        <v>0</v>
      </c>
      <c r="F41" s="1" t="str">
        <f t="shared" si="0"/>
        <v>DEFAULTER</v>
      </c>
    </row>
    <row r="42" spans="1:6" x14ac:dyDescent="0.25">
      <c r="A42" s="4">
        <v>44288</v>
      </c>
      <c r="B42" s="5" t="s">
        <v>13</v>
      </c>
      <c r="C42" s="5" t="s">
        <v>59</v>
      </c>
      <c r="D42" s="1" t="str">
        <f>VLOOKUP(B42,'Team Detail'!B:C,2,FALSE)</f>
        <v>Onshore</v>
      </c>
      <c r="E42" s="1">
        <f>SUMIFS('RAW DATA'!$G$2:$G$50000,'RAW DATA'!$A$2:$A$50000,CALCULATION!A42,'RAW DATA'!$B$2:$B$50000,CALCULATION!B42)</f>
        <v>0</v>
      </c>
      <c r="F42" s="1" t="str">
        <f t="shared" si="0"/>
        <v>DEFAULTER</v>
      </c>
    </row>
    <row r="43" spans="1:6" x14ac:dyDescent="0.25">
      <c r="A43" s="4">
        <v>44288</v>
      </c>
      <c r="B43" s="5" t="s">
        <v>30</v>
      </c>
      <c r="C43" s="5" t="s">
        <v>59</v>
      </c>
      <c r="D43" s="1" t="str">
        <f>VLOOKUP(B43,'Team Detail'!B:C,2,FALSE)</f>
        <v>Offshore</v>
      </c>
      <c r="E43" s="1">
        <f>SUMIFS('RAW DATA'!$G$2:$G$50000,'RAW DATA'!$A$2:$A$50000,CALCULATION!A43,'RAW DATA'!$B$2:$B$50000,CALCULATION!B43)</f>
        <v>0</v>
      </c>
      <c r="F43" s="1" t="str">
        <f t="shared" si="0"/>
        <v>DEFAULTER</v>
      </c>
    </row>
    <row r="44" spans="1:6" x14ac:dyDescent="0.25">
      <c r="A44" s="4">
        <v>44288</v>
      </c>
      <c r="B44" s="5" t="s">
        <v>26</v>
      </c>
      <c r="C44" s="5" t="s">
        <v>59</v>
      </c>
      <c r="D44" s="1" t="str">
        <f>VLOOKUP(B44,'Team Detail'!B:C,2,FALSE)</f>
        <v>Offshore</v>
      </c>
      <c r="E44" s="1">
        <f>SUMIFS('RAW DATA'!$G$2:$G$50000,'RAW DATA'!$A$2:$A$50000,CALCULATION!A44,'RAW DATA'!$B$2:$B$50000,CALCULATION!B44)</f>
        <v>0</v>
      </c>
      <c r="F44" s="1" t="str">
        <f t="shared" si="0"/>
        <v>DEFAULTER</v>
      </c>
    </row>
    <row r="45" spans="1:6" x14ac:dyDescent="0.25">
      <c r="A45" s="4">
        <v>44288</v>
      </c>
      <c r="B45" s="5" t="s">
        <v>15</v>
      </c>
      <c r="C45" s="5" t="s">
        <v>59</v>
      </c>
      <c r="D45" s="1" t="str">
        <f>VLOOKUP(B45,'Team Detail'!B:C,2,FALSE)</f>
        <v>Offshore</v>
      </c>
      <c r="E45" s="1">
        <f>SUMIFS('RAW DATA'!$G$2:$G$50000,'RAW DATA'!$A$2:$A$50000,CALCULATION!A45,'RAW DATA'!$B$2:$B$50000,CALCULATION!B45)</f>
        <v>0</v>
      </c>
      <c r="F45" s="1" t="str">
        <f t="shared" si="0"/>
        <v>DEFAULTER</v>
      </c>
    </row>
    <row r="46" spans="1:6" x14ac:dyDescent="0.25">
      <c r="A46" s="4">
        <v>44288</v>
      </c>
      <c r="B46" s="5" t="s">
        <v>18</v>
      </c>
      <c r="C46" s="5" t="s">
        <v>59</v>
      </c>
      <c r="D46" s="1" t="str">
        <f>VLOOKUP(B46,'Team Detail'!B:C,2,FALSE)</f>
        <v>Offshore</v>
      </c>
      <c r="E46" s="1">
        <f>SUMIFS('RAW DATA'!$G$2:$G$50000,'RAW DATA'!$A$2:$A$50000,CALCULATION!A46,'RAW DATA'!$B$2:$B$50000,CALCULATION!B46)</f>
        <v>0</v>
      </c>
      <c r="F46" s="1" t="str">
        <f t="shared" si="0"/>
        <v>DEFAULTER</v>
      </c>
    </row>
    <row r="47" spans="1:6" hidden="1" x14ac:dyDescent="0.25">
      <c r="A47" s="4">
        <v>44289</v>
      </c>
      <c r="B47" s="5" t="s">
        <v>25</v>
      </c>
      <c r="C47" s="5" t="s">
        <v>60</v>
      </c>
      <c r="D47" s="1" t="str">
        <f>VLOOKUP(B47,'Team Detail'!B:C,2,FALSE)</f>
        <v>Onshore</v>
      </c>
      <c r="E47" s="1">
        <f>SUMIFS('RAW DATA'!$G$2:$G$50000,'RAW DATA'!$A$2:$A$50000,CALCULATION!A47,'RAW DATA'!$B$2:$B$50000,CALCULATION!B47)</f>
        <v>9</v>
      </c>
      <c r="F47" s="1" t="str">
        <f t="shared" si="0"/>
        <v>FILLED</v>
      </c>
    </row>
    <row r="48" spans="1:6" x14ac:dyDescent="0.25">
      <c r="A48" s="4">
        <v>44289</v>
      </c>
      <c r="B48" s="5" t="s">
        <v>17</v>
      </c>
      <c r="C48" s="5" t="s">
        <v>60</v>
      </c>
      <c r="D48" s="1" t="str">
        <f>VLOOKUP(B48,'Team Detail'!B:C,2,FALSE)</f>
        <v>Offshore</v>
      </c>
      <c r="E48" s="1">
        <f>SUMIFS('RAW DATA'!$G$2:$G$50000,'RAW DATA'!$A$2:$A$50000,CALCULATION!A48,'RAW DATA'!$B$2:$B$50000,CALCULATION!B48)</f>
        <v>5</v>
      </c>
      <c r="F48" s="1" t="str">
        <f t="shared" si="0"/>
        <v>DEFAULTER</v>
      </c>
    </row>
    <row r="49" spans="1:6" x14ac:dyDescent="0.25">
      <c r="A49" s="4">
        <v>44289</v>
      </c>
      <c r="B49" s="5" t="s">
        <v>14</v>
      </c>
      <c r="C49" s="5" t="s">
        <v>60</v>
      </c>
      <c r="D49" s="1" t="str">
        <f>VLOOKUP(B49,'Team Detail'!B:C,2,FALSE)</f>
        <v>Offshore</v>
      </c>
      <c r="E49" s="1">
        <f>SUMIFS('RAW DATA'!$G$2:$G$50000,'RAW DATA'!$A$2:$A$50000,CALCULATION!A49,'RAW DATA'!$B$2:$B$50000,CALCULATION!B49)</f>
        <v>4</v>
      </c>
      <c r="F49" s="1" t="str">
        <f t="shared" si="0"/>
        <v>DEFAULTER</v>
      </c>
    </row>
    <row r="50" spans="1:6" hidden="1" x14ac:dyDescent="0.25">
      <c r="A50" s="4">
        <v>44291</v>
      </c>
      <c r="B50" s="5" t="s">
        <v>21</v>
      </c>
      <c r="C50" s="5" t="s">
        <v>61</v>
      </c>
      <c r="D50" s="1" t="str">
        <f>VLOOKUP(B50,'Team Detail'!B:C,2,FALSE)</f>
        <v>Offshore</v>
      </c>
      <c r="E50" s="1">
        <f>SUMIFS('RAW DATA'!$G$2:$G$50000,'RAW DATA'!$A$2:$A$50000,CALCULATION!A50,'RAW DATA'!$B$2:$B$50000,CALCULATION!B50)</f>
        <v>9</v>
      </c>
      <c r="F50" s="1" t="str">
        <f t="shared" si="0"/>
        <v>FILLED</v>
      </c>
    </row>
    <row r="51" spans="1:6" hidden="1" x14ac:dyDescent="0.25">
      <c r="A51" s="4">
        <v>44291</v>
      </c>
      <c r="B51" s="5" t="s">
        <v>24</v>
      </c>
      <c r="C51" s="5" t="s">
        <v>61</v>
      </c>
      <c r="D51" s="1" t="str">
        <f>VLOOKUP(B51,'Team Detail'!B:C,2,FALSE)</f>
        <v>Offshore</v>
      </c>
      <c r="E51" s="1">
        <f>SUMIFS('RAW DATA'!$G$2:$G$50000,'RAW DATA'!$A$2:$A$50000,CALCULATION!A51,'RAW DATA'!$B$2:$B$50000,CALCULATION!B51)</f>
        <v>9</v>
      </c>
      <c r="F51" s="1" t="str">
        <f t="shared" si="0"/>
        <v>FILLED</v>
      </c>
    </row>
    <row r="52" spans="1:6" hidden="1" x14ac:dyDescent="0.25">
      <c r="A52" s="4">
        <v>44287</v>
      </c>
      <c r="B52" s="5" t="s">
        <v>32</v>
      </c>
      <c r="C52" s="5" t="s">
        <v>62</v>
      </c>
      <c r="D52" s="1" t="str">
        <f>VLOOKUP(B52,'Team Detail'!B:C,2,FALSE)</f>
        <v>Offshore</v>
      </c>
      <c r="E52" s="1">
        <f>SUMIFS('RAW DATA'!$G$2:$G$50000,'RAW DATA'!$A$2:$A$50000,CALCULATION!A52,'RAW DATA'!$B$2:$B$50000,CALCULATION!B52)</f>
        <v>10</v>
      </c>
      <c r="F52" s="1" t="str">
        <f t="shared" si="0"/>
        <v>FILLED</v>
      </c>
    </row>
    <row r="53" spans="1:6" hidden="1" x14ac:dyDescent="0.25">
      <c r="A53" s="4">
        <v>44287</v>
      </c>
      <c r="B53" s="5" t="s">
        <v>33</v>
      </c>
      <c r="C53" s="5" t="s">
        <v>63</v>
      </c>
      <c r="D53" s="1" t="str">
        <f>VLOOKUP(B53,'Team Detail'!B:C,2,FALSE)</f>
        <v>Offshore</v>
      </c>
      <c r="E53" s="1">
        <f>SUMIFS('RAW DATA'!$G$2:$G$50000,'RAW DATA'!$A$2:$A$50000,CALCULATION!A53,'RAW DATA'!$B$2:$B$50000,CALCULATION!B53)</f>
        <v>9</v>
      </c>
      <c r="F53" s="1" t="str">
        <f t="shared" si="0"/>
        <v>FILLED</v>
      </c>
    </row>
    <row r="54" spans="1:6" hidden="1" x14ac:dyDescent="0.25">
      <c r="A54" s="4">
        <v>44287</v>
      </c>
      <c r="B54" s="5" t="s">
        <v>34</v>
      </c>
      <c r="C54" s="5" t="s">
        <v>63</v>
      </c>
      <c r="D54" s="1" t="str">
        <f>VLOOKUP(B54,'Team Detail'!B:C,2,FALSE)</f>
        <v>Onshore</v>
      </c>
      <c r="E54" s="1">
        <f>SUMIFS('RAW DATA'!$G$2:$G$50000,'RAW DATA'!$A$2:$A$50000,CALCULATION!A54,'RAW DATA'!$B$2:$B$50000,CALCULATION!B54)</f>
        <v>9</v>
      </c>
      <c r="F54" s="1" t="str">
        <f t="shared" si="0"/>
        <v>FILLED</v>
      </c>
    </row>
    <row r="55" spans="1:6" hidden="1" x14ac:dyDescent="0.25">
      <c r="A55" s="4">
        <v>44287</v>
      </c>
      <c r="B55" s="5" t="s">
        <v>35</v>
      </c>
      <c r="C55" s="5" t="s">
        <v>64</v>
      </c>
      <c r="D55" s="1" t="str">
        <f>VLOOKUP(B55,'Team Detail'!B:C,2,FALSE)</f>
        <v>Offshore</v>
      </c>
      <c r="E55" s="1">
        <f>SUMIFS('RAW DATA'!$G$2:$G$50000,'RAW DATA'!$A$2:$A$50000,CALCULATION!A55,'RAW DATA'!$B$2:$B$50000,CALCULATION!B55)</f>
        <v>9</v>
      </c>
      <c r="F55" s="1" t="str">
        <f t="shared" si="0"/>
        <v>FILLED</v>
      </c>
    </row>
    <row r="56" spans="1:6" hidden="1" x14ac:dyDescent="0.25">
      <c r="A56" s="4">
        <v>44287</v>
      </c>
      <c r="B56" s="5" t="s">
        <v>36</v>
      </c>
      <c r="C56" s="5" t="s">
        <v>65</v>
      </c>
      <c r="D56" s="1" t="str">
        <f>VLOOKUP(B56,'Team Detail'!B:C,2,FALSE)</f>
        <v>Offshore</v>
      </c>
      <c r="E56" s="1">
        <f>SUMIFS('RAW DATA'!$G$2:$G$50000,'RAW DATA'!$A$2:$A$50000,CALCULATION!A56,'RAW DATA'!$B$2:$B$50000,CALCULATION!B56)</f>
        <v>10</v>
      </c>
      <c r="F56" s="1" t="str">
        <f t="shared" si="0"/>
        <v>FILLED</v>
      </c>
    </row>
    <row r="57" spans="1:6" hidden="1" x14ac:dyDescent="0.25">
      <c r="A57" s="4">
        <v>44287</v>
      </c>
      <c r="B57" s="5" t="s">
        <v>37</v>
      </c>
      <c r="C57" s="5" t="s">
        <v>66</v>
      </c>
      <c r="D57" s="1" t="str">
        <f>VLOOKUP(B57,'Team Detail'!B:C,2,FALSE)</f>
        <v>Offshore</v>
      </c>
      <c r="E57" s="1">
        <f>SUMIFS('RAW DATA'!$G$2:$G$50000,'RAW DATA'!$A$2:$A$50000,CALCULATION!A57,'RAW DATA'!$B$2:$B$50000,CALCULATION!B57)</f>
        <v>9</v>
      </c>
      <c r="F57" s="1" t="str">
        <f t="shared" si="0"/>
        <v>FILLED</v>
      </c>
    </row>
    <row r="58" spans="1:6" hidden="1" x14ac:dyDescent="0.25">
      <c r="A58" s="4">
        <v>44287</v>
      </c>
      <c r="B58" s="5" t="s">
        <v>38</v>
      </c>
      <c r="C58" s="5" t="s">
        <v>63</v>
      </c>
      <c r="D58" s="1" t="str">
        <f>VLOOKUP(B58,'Team Detail'!B:C,2,FALSE)</f>
        <v>Offshore</v>
      </c>
      <c r="E58" s="1">
        <f>SUMIFS('RAW DATA'!$G$2:$G$50000,'RAW DATA'!$A$2:$A$50000,CALCULATION!A58,'RAW DATA'!$B$2:$B$50000,CALCULATION!B58)</f>
        <v>9</v>
      </c>
      <c r="F58" s="1" t="str">
        <f t="shared" si="0"/>
        <v>FILLED</v>
      </c>
    </row>
    <row r="59" spans="1:6" x14ac:dyDescent="0.25">
      <c r="A59" s="4">
        <v>44287</v>
      </c>
      <c r="B59" s="5" t="s">
        <v>39</v>
      </c>
      <c r="C59" s="5" t="s">
        <v>67</v>
      </c>
      <c r="D59" s="1" t="str">
        <f>VLOOKUP(B59,'Team Detail'!B:C,2,FALSE)</f>
        <v>Offshore</v>
      </c>
      <c r="E59" s="1">
        <f>SUMIFS('RAW DATA'!$G$2:$G$50000,'RAW DATA'!$A$2:$A$50000,CALCULATION!A59,'RAW DATA'!$B$2:$B$50000,CALCULATION!B59)</f>
        <v>4.5</v>
      </c>
      <c r="F59" s="1" t="str">
        <f t="shared" si="0"/>
        <v>DEFAULTER</v>
      </c>
    </row>
    <row r="60" spans="1:6" hidden="1" x14ac:dyDescent="0.25">
      <c r="A60" s="4">
        <v>44287</v>
      </c>
      <c r="B60" s="5" t="s">
        <v>40</v>
      </c>
      <c r="C60" s="5" t="s">
        <v>63</v>
      </c>
      <c r="D60" s="1" t="str">
        <f>VLOOKUP(B60,'Team Detail'!B:C,2,FALSE)</f>
        <v>Offshore</v>
      </c>
      <c r="E60" s="1">
        <f>SUMIFS('RAW DATA'!$G$2:$G$50000,'RAW DATA'!$A$2:$A$50000,CALCULATION!A60,'RAW DATA'!$B$2:$B$50000,CALCULATION!B60)</f>
        <v>9</v>
      </c>
      <c r="F60" s="1" t="str">
        <f t="shared" si="0"/>
        <v>FILLED</v>
      </c>
    </row>
    <row r="61" spans="1:6" x14ac:dyDescent="0.25">
      <c r="A61" s="4">
        <v>44287</v>
      </c>
      <c r="B61" s="5" t="s">
        <v>41</v>
      </c>
      <c r="C61" s="5" t="s">
        <v>67</v>
      </c>
      <c r="D61" s="1" t="str">
        <f>VLOOKUP(B61,'Team Detail'!B:C,2,FALSE)</f>
        <v>Offshore</v>
      </c>
      <c r="E61" s="1">
        <f>SUMIFS('RAW DATA'!$G$2:$G$50000,'RAW DATA'!$A$2:$A$50000,CALCULATION!A61,'RAW DATA'!$B$2:$B$50000,CALCULATION!B61)</f>
        <v>1</v>
      </c>
      <c r="F61" s="1" t="str">
        <f t="shared" si="0"/>
        <v>DEFAULTER</v>
      </c>
    </row>
    <row r="62" spans="1:6" hidden="1" x14ac:dyDescent="0.25">
      <c r="A62" s="4">
        <v>44287</v>
      </c>
      <c r="B62" s="5" t="s">
        <v>42</v>
      </c>
      <c r="C62" s="5" t="s">
        <v>63</v>
      </c>
      <c r="D62" s="1" t="str">
        <f>VLOOKUP(B62,'Team Detail'!B:C,2,FALSE)</f>
        <v>Onshore</v>
      </c>
      <c r="E62" s="1">
        <f>SUMIFS('RAW DATA'!$G$2:$G$50000,'RAW DATA'!$A$2:$A$50000,CALCULATION!A62,'RAW DATA'!$B$2:$B$50000,CALCULATION!B62)</f>
        <v>9</v>
      </c>
      <c r="F62" s="1" t="str">
        <f t="shared" si="0"/>
        <v>FILLED</v>
      </c>
    </row>
    <row r="63" spans="1:6" hidden="1" x14ac:dyDescent="0.25">
      <c r="A63" s="4">
        <v>44287</v>
      </c>
      <c r="B63" s="5" t="s">
        <v>43</v>
      </c>
      <c r="C63" s="5" t="s">
        <v>66</v>
      </c>
      <c r="D63" s="1" t="str">
        <f>VLOOKUP(B63,'Team Detail'!B:C,2,FALSE)</f>
        <v>Offshore</v>
      </c>
      <c r="E63" s="1">
        <f>SUMIFS('RAW DATA'!$G$2:$G$50000,'RAW DATA'!$A$2:$A$50000,CALCULATION!A63,'RAW DATA'!$B$2:$B$50000,CALCULATION!B63)</f>
        <v>9</v>
      </c>
      <c r="F63" s="1" t="str">
        <f t="shared" si="0"/>
        <v>FILLED</v>
      </c>
    </row>
    <row r="64" spans="1:6" hidden="1" x14ac:dyDescent="0.25">
      <c r="A64" s="4">
        <v>44288</v>
      </c>
      <c r="B64" s="5" t="s">
        <v>32</v>
      </c>
      <c r="C64" s="5" t="s">
        <v>62</v>
      </c>
      <c r="D64" s="1" t="str">
        <f>VLOOKUP(B64,'Team Detail'!B:C,2,FALSE)</f>
        <v>Offshore</v>
      </c>
      <c r="E64" s="1">
        <f>SUMIFS('RAW DATA'!$G$2:$G$50000,'RAW DATA'!$A$2:$A$50000,CALCULATION!A64,'RAW DATA'!$B$2:$B$50000,CALCULATION!B64)</f>
        <v>9</v>
      </c>
      <c r="F64" s="1" t="str">
        <f t="shared" si="0"/>
        <v>FILLED</v>
      </c>
    </row>
    <row r="65" spans="1:6" hidden="1" x14ac:dyDescent="0.25">
      <c r="A65" s="4">
        <v>44288</v>
      </c>
      <c r="B65" s="5" t="s">
        <v>37</v>
      </c>
      <c r="C65" s="5" t="s">
        <v>66</v>
      </c>
      <c r="D65" s="1" t="str">
        <f>VLOOKUP(B65,'Team Detail'!B:C,2,FALSE)</f>
        <v>Offshore</v>
      </c>
      <c r="E65" s="1">
        <f>SUMIFS('RAW DATA'!$G$2:$G$50000,'RAW DATA'!$A$2:$A$50000,CALCULATION!A65,'RAW DATA'!$B$2:$B$50000,CALCULATION!B65)</f>
        <v>9</v>
      </c>
      <c r="F65" s="1" t="str">
        <f t="shared" si="0"/>
        <v>FILLED</v>
      </c>
    </row>
    <row r="66" spans="1:6" hidden="1" x14ac:dyDescent="0.25">
      <c r="A66" s="4">
        <v>44288</v>
      </c>
      <c r="B66" s="5" t="s">
        <v>42</v>
      </c>
      <c r="C66" s="5" t="s">
        <v>63</v>
      </c>
      <c r="D66" s="1" t="str">
        <f>VLOOKUP(B66,'Team Detail'!B:C,2,FALSE)</f>
        <v>Onshore</v>
      </c>
      <c r="E66" s="1">
        <f>SUMIFS('RAW DATA'!$G$2:$G$50000,'RAW DATA'!$A$2:$A$50000,CALCULATION!A66,'RAW DATA'!$B$2:$B$50000,CALCULATION!B66)</f>
        <v>9</v>
      </c>
      <c r="F66" s="1" t="str">
        <f t="shared" si="0"/>
        <v>FILLED</v>
      </c>
    </row>
    <row r="67" spans="1:6" x14ac:dyDescent="0.25">
      <c r="A67" s="4">
        <v>44288</v>
      </c>
      <c r="B67" s="5" t="s">
        <v>40</v>
      </c>
      <c r="C67" s="5" t="s">
        <v>63</v>
      </c>
      <c r="D67" s="1" t="str">
        <f>VLOOKUP(B67,'Team Detail'!B:C,2,FALSE)</f>
        <v>Offshore</v>
      </c>
      <c r="E67" s="1">
        <f>SUMIFS('RAW DATA'!$G$2:$G$50000,'RAW DATA'!$A$2:$A$50000,CALCULATION!A67,'RAW DATA'!$B$2:$B$50000,CALCULATION!B67)</f>
        <v>0</v>
      </c>
      <c r="F67" s="1" t="str">
        <f t="shared" ref="F67:F115" si="1">IF(AND(D67="OFFSHORE",E67&gt;=9),"FILLED",IF(AND(D67="ONSHORE",E67&gt;=8),"FILLED","DEFAULTER"))</f>
        <v>DEFAULTER</v>
      </c>
    </row>
    <row r="68" spans="1:6" hidden="1" x14ac:dyDescent="0.25">
      <c r="A68" s="4">
        <v>44288</v>
      </c>
      <c r="B68" s="5" t="s">
        <v>34</v>
      </c>
      <c r="C68" s="5" t="s">
        <v>63</v>
      </c>
      <c r="D68" s="1" t="str">
        <f>VLOOKUP(B68,'Team Detail'!B:C,2,FALSE)</f>
        <v>Onshore</v>
      </c>
      <c r="E68" s="1">
        <f>SUMIFS('RAW DATA'!$G$2:$G$50000,'RAW DATA'!$A$2:$A$50000,CALCULATION!A68,'RAW DATA'!$B$2:$B$50000,CALCULATION!B68)</f>
        <v>9</v>
      </c>
      <c r="F68" s="1" t="str">
        <f t="shared" si="1"/>
        <v>FILLED</v>
      </c>
    </row>
    <row r="69" spans="1:6" x14ac:dyDescent="0.25">
      <c r="A69" s="4">
        <v>44288</v>
      </c>
      <c r="B69" s="5" t="s">
        <v>41</v>
      </c>
      <c r="C69" s="5" t="s">
        <v>67</v>
      </c>
      <c r="D69" s="1" t="str">
        <f>VLOOKUP(B69,'Team Detail'!B:C,2,FALSE)</f>
        <v>Offshore</v>
      </c>
      <c r="E69" s="1">
        <f>SUMIFS('RAW DATA'!$G$2:$G$50000,'RAW DATA'!$A$2:$A$50000,CALCULATION!A69,'RAW DATA'!$B$2:$B$50000,CALCULATION!B69)</f>
        <v>1</v>
      </c>
      <c r="F69" s="1" t="str">
        <f t="shared" si="1"/>
        <v>DEFAULTER</v>
      </c>
    </row>
    <row r="70" spans="1:6" hidden="1" x14ac:dyDescent="0.25">
      <c r="A70" s="4">
        <v>44288</v>
      </c>
      <c r="B70" s="5" t="s">
        <v>43</v>
      </c>
      <c r="C70" s="5" t="s">
        <v>66</v>
      </c>
      <c r="D70" s="1" t="str">
        <f>VLOOKUP(B70,'Team Detail'!B:C,2,FALSE)</f>
        <v>Offshore</v>
      </c>
      <c r="E70" s="1">
        <f>SUMIFS('RAW DATA'!$G$2:$G$50000,'RAW DATA'!$A$2:$A$50000,CALCULATION!A70,'RAW DATA'!$B$2:$B$50000,CALCULATION!B70)</f>
        <v>9</v>
      </c>
      <c r="F70" s="1" t="str">
        <f t="shared" si="1"/>
        <v>FILLED</v>
      </c>
    </row>
    <row r="71" spans="1:6" hidden="1" x14ac:dyDescent="0.25">
      <c r="A71" s="4">
        <v>44288</v>
      </c>
      <c r="B71" s="5" t="s">
        <v>33</v>
      </c>
      <c r="C71" s="5" t="s">
        <v>63</v>
      </c>
      <c r="D71" s="1" t="str">
        <f>VLOOKUP(B71,'Team Detail'!B:C,2,FALSE)</f>
        <v>Offshore</v>
      </c>
      <c r="E71" s="1">
        <f>SUMIFS('RAW DATA'!$G$2:$G$50000,'RAW DATA'!$A$2:$A$50000,CALCULATION!A71,'RAW DATA'!$B$2:$B$50000,CALCULATION!B71)</f>
        <v>9</v>
      </c>
      <c r="F71" s="1" t="str">
        <f t="shared" si="1"/>
        <v>FILLED</v>
      </c>
    </row>
    <row r="72" spans="1:6" hidden="1" x14ac:dyDescent="0.25">
      <c r="A72" s="4">
        <v>44288</v>
      </c>
      <c r="B72" s="5" t="s">
        <v>38</v>
      </c>
      <c r="C72" s="5" t="s">
        <v>63</v>
      </c>
      <c r="D72" s="1" t="str">
        <f>VLOOKUP(B72,'Team Detail'!B:C,2,FALSE)</f>
        <v>Offshore</v>
      </c>
      <c r="E72" s="1">
        <f>SUMIFS('RAW DATA'!$G$2:$G$50000,'RAW DATA'!$A$2:$A$50000,CALCULATION!A72,'RAW DATA'!$B$2:$B$50000,CALCULATION!B72)</f>
        <v>9</v>
      </c>
      <c r="F72" s="1" t="str">
        <f t="shared" si="1"/>
        <v>FILLED</v>
      </c>
    </row>
    <row r="73" spans="1:6" x14ac:dyDescent="0.25">
      <c r="A73" s="4">
        <v>44289</v>
      </c>
      <c r="B73" s="5" t="s">
        <v>36</v>
      </c>
      <c r="C73" s="5" t="s">
        <v>65</v>
      </c>
      <c r="D73" s="1" t="str">
        <f>VLOOKUP(B73,'Team Detail'!B:C,2,FALSE)</f>
        <v>Offshore</v>
      </c>
      <c r="E73" s="1">
        <f>SUMIFS('RAW DATA'!$G$2:$G$50000,'RAW DATA'!$A$2:$A$50000,CALCULATION!A73,'RAW DATA'!$B$2:$B$50000,CALCULATION!B73)</f>
        <v>1</v>
      </c>
      <c r="F73" s="1" t="str">
        <f t="shared" si="1"/>
        <v>DEFAULTER</v>
      </c>
    </row>
    <row r="74" spans="1:6" hidden="1" x14ac:dyDescent="0.25">
      <c r="A74" s="4">
        <v>44291</v>
      </c>
      <c r="B74" s="5" t="s">
        <v>42</v>
      </c>
      <c r="C74" s="5" t="s">
        <v>63</v>
      </c>
      <c r="D74" s="1" t="str">
        <f>VLOOKUP(B74,'Team Detail'!B:C,2,FALSE)</f>
        <v>Onshore</v>
      </c>
      <c r="E74" s="1">
        <f>SUMIFS('RAW DATA'!$G$2:$G$50000,'RAW DATA'!$A$2:$A$50000,CALCULATION!A74,'RAW DATA'!$B$2:$B$50000,CALCULATION!B74)</f>
        <v>9</v>
      </c>
      <c r="F74" s="1" t="str">
        <f t="shared" si="1"/>
        <v>FILLED</v>
      </c>
    </row>
    <row r="75" spans="1:6" hidden="1" x14ac:dyDescent="0.25">
      <c r="A75" s="4">
        <v>44291</v>
      </c>
      <c r="B75" s="5" t="s">
        <v>43</v>
      </c>
      <c r="C75" s="5" t="s">
        <v>66</v>
      </c>
      <c r="D75" s="1" t="str">
        <f>VLOOKUP(B75,'Team Detail'!B:C,2,FALSE)</f>
        <v>Offshore</v>
      </c>
      <c r="E75" s="1">
        <f>SUMIFS('RAW DATA'!$G$2:$G$50000,'RAW DATA'!$A$2:$A$50000,CALCULATION!A75,'RAW DATA'!$B$2:$B$50000,CALCULATION!B75)</f>
        <v>9</v>
      </c>
      <c r="F75" s="1" t="str">
        <f t="shared" si="1"/>
        <v>FILLED</v>
      </c>
    </row>
    <row r="76" spans="1:6" x14ac:dyDescent="0.25">
      <c r="A76" s="4">
        <v>44291</v>
      </c>
      <c r="B76" s="5" t="s">
        <v>39</v>
      </c>
      <c r="C76" s="5" t="s">
        <v>67</v>
      </c>
      <c r="D76" s="1" t="str">
        <f>VLOOKUP(B76,'Team Detail'!B:C,2,FALSE)</f>
        <v>Offshore</v>
      </c>
      <c r="E76" s="1">
        <f>SUMIFS('RAW DATA'!$G$2:$G$50000,'RAW DATA'!$A$2:$A$50000,CALCULATION!A76,'RAW DATA'!$B$2:$B$50000,CALCULATION!B76)</f>
        <v>4.5</v>
      </c>
      <c r="F76" s="1" t="str">
        <f t="shared" si="1"/>
        <v>DEFAULTER</v>
      </c>
    </row>
    <row r="77" spans="1:6" hidden="1" x14ac:dyDescent="0.25">
      <c r="A77" s="4">
        <v>44291</v>
      </c>
      <c r="B77" s="5" t="s">
        <v>40</v>
      </c>
      <c r="C77" s="5" t="s">
        <v>63</v>
      </c>
      <c r="D77" s="1" t="str">
        <f>VLOOKUP(B77,'Team Detail'!B:C,2,FALSE)</f>
        <v>Offshore</v>
      </c>
      <c r="E77" s="1">
        <f>SUMIFS('RAW DATA'!$G$2:$G$50000,'RAW DATA'!$A$2:$A$50000,CALCULATION!A77,'RAW DATA'!$B$2:$B$50000,CALCULATION!B77)</f>
        <v>9</v>
      </c>
      <c r="F77" s="1" t="str">
        <f t="shared" si="1"/>
        <v>FILLED</v>
      </c>
    </row>
    <row r="78" spans="1:6" hidden="1" x14ac:dyDescent="0.25">
      <c r="A78" s="4">
        <v>44291</v>
      </c>
      <c r="B78" s="5" t="s">
        <v>44</v>
      </c>
      <c r="C78" s="5" t="s">
        <v>66</v>
      </c>
      <c r="D78" s="1" t="str">
        <f>VLOOKUP(B78,'Team Detail'!B:C,2,FALSE)</f>
        <v>Offshore</v>
      </c>
      <c r="E78" s="1">
        <f>SUMIFS('RAW DATA'!$G$2:$G$50000,'RAW DATA'!$A$2:$A$50000,CALCULATION!A78,'RAW DATA'!$B$2:$B$50000,CALCULATION!B78)</f>
        <v>9</v>
      </c>
      <c r="F78" s="1" t="str">
        <f t="shared" si="1"/>
        <v>FILLED</v>
      </c>
    </row>
    <row r="79" spans="1:6" hidden="1" x14ac:dyDescent="0.25">
      <c r="A79" s="4">
        <v>44291</v>
      </c>
      <c r="B79" s="5" t="s">
        <v>37</v>
      </c>
      <c r="C79" s="5" t="s">
        <v>66</v>
      </c>
      <c r="D79" s="1" t="str">
        <f>VLOOKUP(B79,'Team Detail'!B:C,2,FALSE)</f>
        <v>Offshore</v>
      </c>
      <c r="E79" s="1">
        <f>SUMIFS('RAW DATA'!$G$2:$G$50000,'RAW DATA'!$A$2:$A$50000,CALCULATION!A79,'RAW DATA'!$B$2:$B$50000,CALCULATION!B79)</f>
        <v>9</v>
      </c>
      <c r="F79" s="1" t="str">
        <f t="shared" si="1"/>
        <v>FILLED</v>
      </c>
    </row>
    <row r="80" spans="1:6" hidden="1" x14ac:dyDescent="0.25">
      <c r="A80" s="4">
        <v>44291</v>
      </c>
      <c r="B80" s="5" t="s">
        <v>36</v>
      </c>
      <c r="C80" s="5" t="s">
        <v>65</v>
      </c>
      <c r="D80" s="1" t="str">
        <f>VLOOKUP(B80,'Team Detail'!B:C,2,FALSE)</f>
        <v>Offshore</v>
      </c>
      <c r="E80" s="1">
        <f>SUMIFS('RAW DATA'!$G$2:$G$50000,'RAW DATA'!$A$2:$A$50000,CALCULATION!A80,'RAW DATA'!$B$2:$B$50000,CALCULATION!B80)</f>
        <v>10</v>
      </c>
      <c r="F80" s="1" t="str">
        <f t="shared" si="1"/>
        <v>FILLED</v>
      </c>
    </row>
    <row r="81" spans="1:6" hidden="1" x14ac:dyDescent="0.25">
      <c r="A81" s="4">
        <v>44287</v>
      </c>
      <c r="B81" s="5" t="s">
        <v>45</v>
      </c>
      <c r="C81" s="5" t="s">
        <v>68</v>
      </c>
      <c r="D81" s="1" t="str">
        <f>VLOOKUP(B81,'Team Detail'!B:C,2,FALSE)</f>
        <v>Offshore</v>
      </c>
      <c r="E81" s="1">
        <f>SUMIFS('RAW DATA'!$G$2:$G$50000,'RAW DATA'!$A$2:$A$50000,CALCULATION!A81,'RAW DATA'!$B$2:$B$50000,CALCULATION!B81)</f>
        <v>13</v>
      </c>
      <c r="F81" s="1" t="str">
        <f t="shared" si="1"/>
        <v>FILLED</v>
      </c>
    </row>
    <row r="82" spans="1:6" hidden="1" x14ac:dyDescent="0.25">
      <c r="A82" s="4">
        <v>44287</v>
      </c>
      <c r="B82" s="5" t="s">
        <v>46</v>
      </c>
      <c r="C82" s="5" t="s">
        <v>68</v>
      </c>
      <c r="D82" s="1" t="str">
        <f>VLOOKUP(B82,'Team Detail'!B:C,2,FALSE)</f>
        <v>Offshore</v>
      </c>
      <c r="E82" s="1">
        <f>SUMIFS('RAW DATA'!$G$2:$G$50000,'RAW DATA'!$A$2:$A$50000,CALCULATION!A82,'RAW DATA'!$B$2:$B$50000,CALCULATION!B82)</f>
        <v>9</v>
      </c>
      <c r="F82" s="1" t="str">
        <f t="shared" si="1"/>
        <v>FILLED</v>
      </c>
    </row>
    <row r="83" spans="1:6" hidden="1" x14ac:dyDescent="0.25">
      <c r="A83" s="4">
        <v>44287</v>
      </c>
      <c r="B83" s="5" t="s">
        <v>47</v>
      </c>
      <c r="C83" s="5" t="s">
        <v>69</v>
      </c>
      <c r="D83" s="1" t="str">
        <f>VLOOKUP(B83,'Team Detail'!B:C,2,FALSE)</f>
        <v>Offshore</v>
      </c>
      <c r="E83" s="1">
        <f>SUMIFS('RAW DATA'!$G$2:$G$50000,'RAW DATA'!$A$2:$A$50000,CALCULATION!A83,'RAW DATA'!$B$2:$B$50000,CALCULATION!B83)</f>
        <v>9</v>
      </c>
      <c r="F83" s="1" t="str">
        <f t="shared" si="1"/>
        <v>FILLED</v>
      </c>
    </row>
    <row r="84" spans="1:6" x14ac:dyDescent="0.25">
      <c r="A84" s="4">
        <v>44287</v>
      </c>
      <c r="B84" s="5" t="s">
        <v>48</v>
      </c>
      <c r="C84" s="5" t="s">
        <v>70</v>
      </c>
      <c r="D84" s="1" t="str">
        <f>VLOOKUP(B84,'Team Detail'!B:C,2,FALSE)</f>
        <v>Offshore</v>
      </c>
      <c r="E84" s="1">
        <f>SUMIFS('RAW DATA'!$G$2:$G$50000,'RAW DATA'!$A$2:$A$50000,CALCULATION!A84,'RAW DATA'!$B$2:$B$50000,CALCULATION!B84)</f>
        <v>2.25</v>
      </c>
      <c r="F84" s="1" t="str">
        <f t="shared" si="1"/>
        <v>DEFAULTER</v>
      </c>
    </row>
    <row r="85" spans="1:6" hidden="1" x14ac:dyDescent="0.25">
      <c r="A85" s="4">
        <v>44287</v>
      </c>
      <c r="B85" s="5" t="s">
        <v>49</v>
      </c>
      <c r="C85" s="5" t="s">
        <v>69</v>
      </c>
      <c r="D85" s="1" t="str">
        <f>VLOOKUP(B85,'Team Detail'!B:C,2,FALSE)</f>
        <v>Onshore</v>
      </c>
      <c r="E85" s="1">
        <f>SUMIFS('RAW DATA'!$G$2:$G$50000,'RAW DATA'!$A$2:$A$50000,CALCULATION!A85,'RAW DATA'!$B$2:$B$50000,CALCULATION!B85)</f>
        <v>9</v>
      </c>
      <c r="F85" s="1" t="str">
        <f t="shared" si="1"/>
        <v>FILLED</v>
      </c>
    </row>
    <row r="86" spans="1:6" hidden="1" x14ac:dyDescent="0.25">
      <c r="A86" s="4">
        <v>44287</v>
      </c>
      <c r="B86" s="5" t="s">
        <v>50</v>
      </c>
      <c r="C86" s="5" t="s">
        <v>69</v>
      </c>
      <c r="D86" s="1" t="str">
        <f>VLOOKUP(B86,'Team Detail'!B:C,2,FALSE)</f>
        <v>Offshore</v>
      </c>
      <c r="E86" s="1">
        <f>SUMIFS('RAW DATA'!$G$2:$G$50000,'RAW DATA'!$A$2:$A$50000,CALCULATION!A86,'RAW DATA'!$B$2:$B$50000,CALCULATION!B86)</f>
        <v>9</v>
      </c>
      <c r="F86" s="1" t="str">
        <f t="shared" si="1"/>
        <v>FILLED</v>
      </c>
    </row>
    <row r="87" spans="1:6" hidden="1" x14ac:dyDescent="0.25">
      <c r="A87" s="4">
        <v>44287</v>
      </c>
      <c r="B87" s="5" t="s">
        <v>51</v>
      </c>
      <c r="C87" s="5" t="s">
        <v>69</v>
      </c>
      <c r="D87" s="1" t="str">
        <f>VLOOKUP(B87,'Team Detail'!B:C,2,FALSE)</f>
        <v>Offshore</v>
      </c>
      <c r="E87" s="1">
        <f>SUMIFS('RAW DATA'!$G$2:$G$50000,'RAW DATA'!$A$2:$A$50000,CALCULATION!A87,'RAW DATA'!$B$2:$B$50000,CALCULATION!B87)</f>
        <v>9</v>
      </c>
      <c r="F87" s="1" t="str">
        <f t="shared" si="1"/>
        <v>FILLED</v>
      </c>
    </row>
    <row r="88" spans="1:6" hidden="1" x14ac:dyDescent="0.25">
      <c r="A88" s="4">
        <v>44287</v>
      </c>
      <c r="B88" s="5" t="s">
        <v>52</v>
      </c>
      <c r="C88" s="5" t="s">
        <v>69</v>
      </c>
      <c r="D88" s="1" t="str">
        <f>VLOOKUP(B88,'Team Detail'!B:C,2,FALSE)</f>
        <v>Offshore</v>
      </c>
      <c r="E88" s="1">
        <f>SUMIFS('RAW DATA'!$G$2:$G$50000,'RAW DATA'!$A$2:$A$50000,CALCULATION!A88,'RAW DATA'!$B$2:$B$50000,CALCULATION!B88)</f>
        <v>9</v>
      </c>
      <c r="F88" s="1" t="str">
        <f t="shared" si="1"/>
        <v>FILLED</v>
      </c>
    </row>
    <row r="89" spans="1:6" hidden="1" x14ac:dyDescent="0.25">
      <c r="A89" s="4">
        <v>44287</v>
      </c>
      <c r="B89" s="5" t="s">
        <v>53</v>
      </c>
      <c r="C89" s="5" t="s">
        <v>69</v>
      </c>
      <c r="D89" s="1" t="str">
        <f>VLOOKUP(B89,'Team Detail'!B:C,2,FALSE)</f>
        <v>Offshore</v>
      </c>
      <c r="E89" s="1">
        <f>SUMIFS('RAW DATA'!$G$2:$G$50000,'RAW DATA'!$A$2:$A$50000,CALCULATION!A89,'RAW DATA'!$B$2:$B$50000,CALCULATION!B89)</f>
        <v>9</v>
      </c>
      <c r="F89" s="1" t="str">
        <f t="shared" si="1"/>
        <v>FILLED</v>
      </c>
    </row>
    <row r="90" spans="1:6" x14ac:dyDescent="0.25">
      <c r="A90" s="4">
        <v>44287</v>
      </c>
      <c r="B90" s="5" t="s">
        <v>54</v>
      </c>
      <c r="C90" s="5" t="s">
        <v>68</v>
      </c>
      <c r="D90" s="1" t="str">
        <f>VLOOKUP(B90,'Team Detail'!B:C,2,FALSE)</f>
        <v>Offshore</v>
      </c>
      <c r="E90" s="1">
        <f>SUMIFS('RAW DATA'!$G$2:$G$50000,'RAW DATA'!$A$2:$A$50000,CALCULATION!A90,'RAW DATA'!$B$2:$B$50000,CALCULATION!B90)</f>
        <v>3.5</v>
      </c>
      <c r="F90" s="1" t="str">
        <f t="shared" si="1"/>
        <v>DEFAULTER</v>
      </c>
    </row>
    <row r="91" spans="1:6" hidden="1" x14ac:dyDescent="0.25">
      <c r="A91" s="4">
        <v>44287</v>
      </c>
      <c r="B91" s="5" t="s">
        <v>55</v>
      </c>
      <c r="C91" s="5" t="s">
        <v>70</v>
      </c>
      <c r="D91" s="1" t="str">
        <f>VLOOKUP(B91,'Team Detail'!B:C,2,FALSE)</f>
        <v>Offshore</v>
      </c>
      <c r="E91" s="1">
        <f>SUMIFS('RAW DATA'!$G$2:$G$50000,'RAW DATA'!$A$2:$A$50000,CALCULATION!A91,'RAW DATA'!$B$2:$B$50000,CALCULATION!B91)</f>
        <v>9</v>
      </c>
      <c r="F91" s="1" t="str">
        <f t="shared" si="1"/>
        <v>FILLED</v>
      </c>
    </row>
    <row r="92" spans="1:6" hidden="1" x14ac:dyDescent="0.25">
      <c r="A92" s="4">
        <v>44287</v>
      </c>
      <c r="B92" s="5" t="s">
        <v>56</v>
      </c>
      <c r="C92" s="5" t="s">
        <v>68</v>
      </c>
      <c r="D92" s="1" t="str">
        <f>VLOOKUP(B92,'Team Detail'!B:C,2,FALSE)</f>
        <v>Offshore</v>
      </c>
      <c r="E92" s="1">
        <f>SUMIFS('RAW DATA'!$G$2:$G$50000,'RAW DATA'!$A$2:$A$50000,CALCULATION!A92,'RAW DATA'!$B$2:$B$50000,CALCULATION!B92)</f>
        <v>9</v>
      </c>
      <c r="F92" s="1" t="str">
        <f t="shared" si="1"/>
        <v>FILLED</v>
      </c>
    </row>
    <row r="93" spans="1:6" x14ac:dyDescent="0.25">
      <c r="A93" s="4">
        <v>44288</v>
      </c>
      <c r="B93" s="5" t="s">
        <v>48</v>
      </c>
      <c r="C93" s="5" t="s">
        <v>70</v>
      </c>
      <c r="D93" s="1" t="str">
        <f>VLOOKUP(B93,'Team Detail'!B:C,2,FALSE)</f>
        <v>Offshore</v>
      </c>
      <c r="E93" s="1">
        <f>SUMIFS('RAW DATA'!$G$2:$G$50000,'RAW DATA'!$A$2:$A$50000,CALCULATION!A93,'RAW DATA'!$B$2:$B$50000,CALCULATION!B93)</f>
        <v>2.25</v>
      </c>
      <c r="F93" s="1" t="str">
        <f t="shared" si="1"/>
        <v>DEFAULTER</v>
      </c>
    </row>
    <row r="94" spans="1:6" hidden="1" x14ac:dyDescent="0.25">
      <c r="A94" s="4">
        <v>44288</v>
      </c>
      <c r="B94" s="5" t="s">
        <v>52</v>
      </c>
      <c r="C94" s="5" t="s">
        <v>69</v>
      </c>
      <c r="D94" s="1" t="str">
        <f>VLOOKUP(B94,'Team Detail'!B:C,2,FALSE)</f>
        <v>Offshore</v>
      </c>
      <c r="E94" s="1">
        <f>SUMIFS('RAW DATA'!$G$2:$G$50000,'RAW DATA'!$A$2:$A$50000,CALCULATION!A94,'RAW DATA'!$B$2:$B$50000,CALCULATION!B94)</f>
        <v>9</v>
      </c>
      <c r="F94" s="1" t="str">
        <f t="shared" si="1"/>
        <v>FILLED</v>
      </c>
    </row>
    <row r="95" spans="1:6" hidden="1" x14ac:dyDescent="0.25">
      <c r="A95" s="4">
        <v>44288</v>
      </c>
      <c r="B95" s="5" t="s">
        <v>49</v>
      </c>
      <c r="C95" s="5" t="s">
        <v>69</v>
      </c>
      <c r="D95" s="1" t="str">
        <f>VLOOKUP(B95,'Team Detail'!B:C,2,FALSE)</f>
        <v>Onshore</v>
      </c>
      <c r="E95" s="1">
        <f>SUMIFS('RAW DATA'!$G$2:$G$50000,'RAW DATA'!$A$2:$A$50000,CALCULATION!A95,'RAW DATA'!$B$2:$B$50000,CALCULATION!B95)</f>
        <v>9</v>
      </c>
      <c r="F95" s="1" t="str">
        <f t="shared" si="1"/>
        <v>FILLED</v>
      </c>
    </row>
    <row r="96" spans="1:6" hidden="1" x14ac:dyDescent="0.25">
      <c r="A96" s="4">
        <v>44288</v>
      </c>
      <c r="B96" s="5" t="s">
        <v>56</v>
      </c>
      <c r="C96" s="5" t="s">
        <v>68</v>
      </c>
      <c r="D96" s="1" t="str">
        <f>VLOOKUP(B96,'Team Detail'!B:C,2,FALSE)</f>
        <v>Offshore</v>
      </c>
      <c r="E96" s="1">
        <f>SUMIFS('RAW DATA'!$G$2:$G$50000,'RAW DATA'!$A$2:$A$50000,CALCULATION!A96,'RAW DATA'!$B$2:$B$50000,CALCULATION!B96)</f>
        <v>9</v>
      </c>
      <c r="F96" s="1" t="str">
        <f t="shared" si="1"/>
        <v>FILLED</v>
      </c>
    </row>
    <row r="97" spans="1:6" hidden="1" x14ac:dyDescent="0.25">
      <c r="A97" s="4">
        <v>44288</v>
      </c>
      <c r="B97" s="5" t="s">
        <v>45</v>
      </c>
      <c r="C97" s="5" t="s">
        <v>68</v>
      </c>
      <c r="D97" s="1" t="str">
        <f>VLOOKUP(B97,'Team Detail'!B:C,2,FALSE)</f>
        <v>Offshore</v>
      </c>
      <c r="E97" s="1">
        <f>SUMIFS('RAW DATA'!$G$2:$G$50000,'RAW DATA'!$A$2:$A$50000,CALCULATION!A97,'RAW DATA'!$B$2:$B$50000,CALCULATION!B97)</f>
        <v>9</v>
      </c>
      <c r="F97" s="1" t="str">
        <f t="shared" si="1"/>
        <v>FILLED</v>
      </c>
    </row>
    <row r="98" spans="1:6" hidden="1" x14ac:dyDescent="0.25">
      <c r="A98" s="4">
        <v>44288</v>
      </c>
      <c r="B98" s="5" t="s">
        <v>55</v>
      </c>
      <c r="C98" s="5" t="s">
        <v>70</v>
      </c>
      <c r="D98" s="1" t="str">
        <f>VLOOKUP(B98,'Team Detail'!B:C,2,FALSE)</f>
        <v>Offshore</v>
      </c>
      <c r="E98" s="1">
        <f>SUMIFS('RAW DATA'!$G$2:$G$50000,'RAW DATA'!$A$2:$A$50000,CALCULATION!A98,'RAW DATA'!$B$2:$B$50000,CALCULATION!B98)</f>
        <v>9</v>
      </c>
      <c r="F98" s="1" t="str">
        <f t="shared" si="1"/>
        <v>FILLED</v>
      </c>
    </row>
    <row r="99" spans="1:6" hidden="1" x14ac:dyDescent="0.25">
      <c r="A99" s="4">
        <v>44288</v>
      </c>
      <c r="B99" s="5" t="s">
        <v>47</v>
      </c>
      <c r="C99" s="5" t="s">
        <v>69</v>
      </c>
      <c r="D99" s="1" t="str">
        <f>VLOOKUP(B99,'Team Detail'!B:C,2,FALSE)</f>
        <v>Offshore</v>
      </c>
      <c r="E99" s="1">
        <f>SUMIFS('RAW DATA'!$G$2:$G$50000,'RAW DATA'!$A$2:$A$50000,CALCULATION!A99,'RAW DATA'!$B$2:$B$50000,CALCULATION!B99)</f>
        <v>9</v>
      </c>
      <c r="F99" s="1" t="str">
        <f t="shared" si="1"/>
        <v>FILLED</v>
      </c>
    </row>
    <row r="100" spans="1:6" hidden="1" x14ac:dyDescent="0.25">
      <c r="A100" s="4">
        <v>44288</v>
      </c>
      <c r="B100" s="5" t="s">
        <v>51</v>
      </c>
      <c r="C100" s="5" t="s">
        <v>69</v>
      </c>
      <c r="D100" s="1" t="str">
        <f>VLOOKUP(B100,'Team Detail'!B:C,2,FALSE)</f>
        <v>Offshore</v>
      </c>
      <c r="E100" s="1">
        <f>SUMIFS('RAW DATA'!$G$2:$G$50000,'RAW DATA'!$A$2:$A$50000,CALCULATION!A100,'RAW DATA'!$B$2:$B$50000,CALCULATION!B100)</f>
        <v>9</v>
      </c>
      <c r="F100" s="1" t="str">
        <f t="shared" si="1"/>
        <v>FILLED</v>
      </c>
    </row>
    <row r="101" spans="1:6" hidden="1" x14ac:dyDescent="0.25">
      <c r="A101" s="4">
        <v>44288</v>
      </c>
      <c r="B101" s="5" t="s">
        <v>50</v>
      </c>
      <c r="C101" s="5" t="s">
        <v>69</v>
      </c>
      <c r="D101" s="1" t="str">
        <f>VLOOKUP(B101,'Team Detail'!B:C,2,FALSE)</f>
        <v>Offshore</v>
      </c>
      <c r="E101" s="1">
        <f>SUMIFS('RAW DATA'!$G$2:$G$50000,'RAW DATA'!$A$2:$A$50000,CALCULATION!A101,'RAW DATA'!$B$2:$B$50000,CALCULATION!B101)</f>
        <v>9</v>
      </c>
      <c r="F101" s="1" t="str">
        <f t="shared" si="1"/>
        <v>FILLED</v>
      </c>
    </row>
    <row r="102" spans="1:6" hidden="1" x14ac:dyDescent="0.25">
      <c r="A102" s="4">
        <v>44288</v>
      </c>
      <c r="B102" s="5" t="s">
        <v>53</v>
      </c>
      <c r="C102" s="5" t="s">
        <v>69</v>
      </c>
      <c r="D102" s="1" t="str">
        <f>VLOOKUP(B102,'Team Detail'!B:C,2,FALSE)</f>
        <v>Offshore</v>
      </c>
      <c r="E102" s="1">
        <f>SUMIFS('RAW DATA'!$G$2:$G$50000,'RAW DATA'!$A$2:$A$50000,CALCULATION!A102,'RAW DATA'!$B$2:$B$50000,CALCULATION!B102)</f>
        <v>9</v>
      </c>
      <c r="F102" s="1" t="str">
        <f t="shared" si="1"/>
        <v>FILLED</v>
      </c>
    </row>
    <row r="103" spans="1:6" hidden="1" x14ac:dyDescent="0.25">
      <c r="A103" s="4">
        <v>44288</v>
      </c>
      <c r="B103" s="5" t="s">
        <v>54</v>
      </c>
      <c r="C103" s="5" t="s">
        <v>68</v>
      </c>
      <c r="D103" s="1" t="str">
        <f>VLOOKUP(B103,'Team Detail'!B:C,2,FALSE)</f>
        <v>Offshore</v>
      </c>
      <c r="E103" s="1">
        <f>SUMIFS('RAW DATA'!$G$2:$G$50000,'RAW DATA'!$A$2:$A$50000,CALCULATION!A103,'RAW DATA'!$B$2:$B$50000,CALCULATION!B103)</f>
        <v>9</v>
      </c>
      <c r="F103" s="1" t="str">
        <f t="shared" si="1"/>
        <v>FILLED</v>
      </c>
    </row>
    <row r="104" spans="1:6" hidden="1" x14ac:dyDescent="0.25">
      <c r="A104" s="4">
        <v>44288</v>
      </c>
      <c r="B104" s="5" t="s">
        <v>46</v>
      </c>
      <c r="C104" s="5" t="s">
        <v>68</v>
      </c>
      <c r="D104" s="1" t="str">
        <f>VLOOKUP(B104,'Team Detail'!B:C,2,FALSE)</f>
        <v>Offshore</v>
      </c>
      <c r="E104" s="1">
        <f>SUMIFS('RAW DATA'!$G$2:$G$50000,'RAW DATA'!$A$2:$A$50000,CALCULATION!A104,'RAW DATA'!$B$2:$B$50000,CALCULATION!B104)</f>
        <v>9</v>
      </c>
      <c r="F104" s="1" t="str">
        <f t="shared" si="1"/>
        <v>FILLED</v>
      </c>
    </row>
    <row r="105" spans="1:6" hidden="1" x14ac:dyDescent="0.25">
      <c r="A105" s="4">
        <v>44291</v>
      </c>
      <c r="B105" s="5" t="s">
        <v>52</v>
      </c>
      <c r="C105" s="5" t="s">
        <v>69</v>
      </c>
      <c r="D105" s="1" t="str">
        <f>VLOOKUP(B105,'Team Detail'!B:C,2,FALSE)</f>
        <v>Offshore</v>
      </c>
      <c r="E105" s="1">
        <f>SUMIFS('RAW DATA'!$G$2:$G$50000,'RAW DATA'!$A$2:$A$50000,CALCULATION!A105,'RAW DATA'!$B$2:$B$50000,CALCULATION!B105)</f>
        <v>9</v>
      </c>
      <c r="F105" s="1" t="str">
        <f t="shared" si="1"/>
        <v>FILLED</v>
      </c>
    </row>
    <row r="106" spans="1:6" hidden="1" x14ac:dyDescent="0.25">
      <c r="A106" s="4">
        <v>44291</v>
      </c>
      <c r="B106" s="5" t="s">
        <v>49</v>
      </c>
      <c r="C106" s="5" t="s">
        <v>69</v>
      </c>
      <c r="D106" s="1" t="str">
        <f>VLOOKUP(B106,'Team Detail'!B:C,2,FALSE)</f>
        <v>Onshore</v>
      </c>
      <c r="E106" s="1">
        <f>SUMIFS('RAW DATA'!$G$2:$G$50000,'RAW DATA'!$A$2:$A$50000,CALCULATION!A106,'RAW DATA'!$B$2:$B$50000,CALCULATION!B106)</f>
        <v>9</v>
      </c>
      <c r="F106" s="1" t="str">
        <f t="shared" si="1"/>
        <v>FILLED</v>
      </c>
    </row>
    <row r="107" spans="1:6" hidden="1" x14ac:dyDescent="0.25">
      <c r="A107" s="4">
        <v>44291</v>
      </c>
      <c r="B107" s="5" t="s">
        <v>47</v>
      </c>
      <c r="C107" s="5" t="s">
        <v>69</v>
      </c>
      <c r="D107" s="1" t="str">
        <f>VLOOKUP(B107,'Team Detail'!B:C,2,FALSE)</f>
        <v>Offshore</v>
      </c>
      <c r="E107" s="1">
        <f>SUMIFS('RAW DATA'!$G$2:$G$50000,'RAW DATA'!$A$2:$A$50000,CALCULATION!A107,'RAW DATA'!$B$2:$B$50000,CALCULATION!B107)</f>
        <v>9</v>
      </c>
      <c r="F107" s="1" t="str">
        <f t="shared" si="1"/>
        <v>FILLED</v>
      </c>
    </row>
    <row r="108" spans="1:6" hidden="1" x14ac:dyDescent="0.25">
      <c r="A108" s="4">
        <v>44291</v>
      </c>
      <c r="B108" s="5" t="s">
        <v>55</v>
      </c>
      <c r="C108" s="5" t="s">
        <v>70</v>
      </c>
      <c r="D108" s="1" t="str">
        <f>VLOOKUP(B108,'Team Detail'!B:C,2,FALSE)</f>
        <v>Offshore</v>
      </c>
      <c r="E108" s="1">
        <f>SUMIFS('RAW DATA'!$G$2:$G$50000,'RAW DATA'!$A$2:$A$50000,CALCULATION!A108,'RAW DATA'!$B$2:$B$50000,CALCULATION!B108)</f>
        <v>9</v>
      </c>
      <c r="F108" s="1" t="str">
        <f t="shared" si="1"/>
        <v>FILLED</v>
      </c>
    </row>
    <row r="109" spans="1:6" hidden="1" x14ac:dyDescent="0.25">
      <c r="A109" s="4">
        <v>44291</v>
      </c>
      <c r="B109" s="5" t="s">
        <v>51</v>
      </c>
      <c r="C109" s="5" t="s">
        <v>69</v>
      </c>
      <c r="D109" s="1" t="str">
        <f>VLOOKUP(B109,'Team Detail'!B:C,2,FALSE)</f>
        <v>Offshore</v>
      </c>
      <c r="E109" s="1">
        <f>SUMIFS('RAW DATA'!$G$2:$G$50000,'RAW DATA'!$A$2:$A$50000,CALCULATION!A109,'RAW DATA'!$B$2:$B$50000,CALCULATION!B109)</f>
        <v>9</v>
      </c>
      <c r="F109" s="1" t="str">
        <f t="shared" si="1"/>
        <v>FILLED</v>
      </c>
    </row>
    <row r="110" spans="1:6" hidden="1" x14ac:dyDescent="0.25">
      <c r="A110" s="4">
        <v>44291</v>
      </c>
      <c r="B110" s="5" t="s">
        <v>53</v>
      </c>
      <c r="C110" s="5" t="s">
        <v>69</v>
      </c>
      <c r="D110" s="1" t="str">
        <f>VLOOKUP(B110,'Team Detail'!B:C,2,FALSE)</f>
        <v>Offshore</v>
      </c>
      <c r="E110" s="1">
        <f>SUMIFS('RAW DATA'!$G$2:$G$50000,'RAW DATA'!$A$2:$A$50000,CALCULATION!A110,'RAW DATA'!$B$2:$B$50000,CALCULATION!B110)</f>
        <v>9</v>
      </c>
      <c r="F110" s="1" t="str">
        <f t="shared" si="1"/>
        <v>FILLED</v>
      </c>
    </row>
    <row r="111" spans="1:6" x14ac:dyDescent="0.25">
      <c r="A111" s="4">
        <v>44291</v>
      </c>
      <c r="B111" s="5" t="s">
        <v>48</v>
      </c>
      <c r="C111" s="5" t="s">
        <v>70</v>
      </c>
      <c r="D111" s="1" t="str">
        <f>VLOOKUP(B111,'Team Detail'!B:C,2,FALSE)</f>
        <v>Offshore</v>
      </c>
      <c r="E111" s="1">
        <f>SUMIFS('RAW DATA'!$G$2:$G$50000,'RAW DATA'!$A$2:$A$50000,CALCULATION!A111,'RAW DATA'!$B$2:$B$50000,CALCULATION!B111)</f>
        <v>2.25</v>
      </c>
      <c r="F111" s="1" t="str">
        <f t="shared" si="1"/>
        <v>DEFAULTER</v>
      </c>
    </row>
    <row r="112" spans="1:6" hidden="1" x14ac:dyDescent="0.25">
      <c r="A112" s="4">
        <v>44291</v>
      </c>
      <c r="B112" s="5" t="s">
        <v>50</v>
      </c>
      <c r="C112" s="5" t="s">
        <v>69</v>
      </c>
      <c r="D112" s="1" t="str">
        <f>VLOOKUP(B112,'Team Detail'!B:C,2,FALSE)</f>
        <v>Offshore</v>
      </c>
      <c r="E112" s="1">
        <f>SUMIFS('RAW DATA'!$G$2:$G$50000,'RAW DATA'!$A$2:$A$50000,CALCULATION!A112,'RAW DATA'!$B$2:$B$50000,CALCULATION!B112)</f>
        <v>9</v>
      </c>
      <c r="F112" s="1" t="str">
        <f t="shared" si="1"/>
        <v>FILLED</v>
      </c>
    </row>
    <row r="113" spans="1:6" hidden="1" x14ac:dyDescent="0.25">
      <c r="A113" s="4">
        <v>44291</v>
      </c>
      <c r="B113" s="5" t="s">
        <v>56</v>
      </c>
      <c r="C113" s="5" t="s">
        <v>68</v>
      </c>
      <c r="D113" s="1" t="str">
        <f>VLOOKUP(B113,'Team Detail'!B:C,2,FALSE)</f>
        <v>Offshore</v>
      </c>
      <c r="E113" s="1">
        <f>SUMIFS('RAW DATA'!$G$2:$G$50000,'RAW DATA'!$A$2:$A$50000,CALCULATION!A113,'RAW DATA'!$B$2:$B$50000,CALCULATION!B113)</f>
        <v>9</v>
      </c>
      <c r="F113" s="1" t="str">
        <f t="shared" si="1"/>
        <v>FILLED</v>
      </c>
    </row>
    <row r="114" spans="1:6" hidden="1" x14ac:dyDescent="0.25">
      <c r="A114" s="4">
        <v>44291</v>
      </c>
      <c r="B114" s="5" t="s">
        <v>54</v>
      </c>
      <c r="C114" s="5" t="s">
        <v>68</v>
      </c>
      <c r="D114" s="1" t="str">
        <f>VLOOKUP(B114,'Team Detail'!B:C,2,FALSE)</f>
        <v>Offshore</v>
      </c>
      <c r="E114" s="1">
        <f>SUMIFS('RAW DATA'!$G$2:$G$50000,'RAW DATA'!$A$2:$A$50000,CALCULATION!A114,'RAW DATA'!$B$2:$B$50000,CALCULATION!B114)</f>
        <v>9</v>
      </c>
      <c r="F114" s="1" t="str">
        <f t="shared" si="1"/>
        <v>FILLED</v>
      </c>
    </row>
    <row r="115" spans="1:6" hidden="1" x14ac:dyDescent="0.25">
      <c r="A115" s="4">
        <v>44291</v>
      </c>
      <c r="B115" s="5" t="s">
        <v>45</v>
      </c>
      <c r="C115" s="5" t="s">
        <v>68</v>
      </c>
      <c r="D115" s="1" t="str">
        <f>VLOOKUP(B115,'Team Detail'!B:C,2,FALSE)</f>
        <v>Offshore</v>
      </c>
      <c r="E115" s="1">
        <f>SUMIFS('RAW DATA'!$G$2:$G$50000,'RAW DATA'!$A$2:$A$50000,CALCULATION!A115,'RAW DATA'!$B$2:$B$50000,CALCULATION!B115)</f>
        <v>9</v>
      </c>
      <c r="F115" s="1" t="str">
        <f t="shared" si="1"/>
        <v>FILLED</v>
      </c>
    </row>
    <row r="116" spans="1:6" x14ac:dyDescent="0.25">
      <c r="A116"/>
      <c r="B116"/>
      <c r="C116"/>
    </row>
    <row r="117" spans="1:6" x14ac:dyDescent="0.25">
      <c r="A117"/>
      <c r="B117"/>
      <c r="C117"/>
    </row>
    <row r="118" spans="1:6" x14ac:dyDescent="0.25">
      <c r="A118"/>
      <c r="B118"/>
      <c r="C118"/>
    </row>
    <row r="119" spans="1:6" x14ac:dyDescent="0.25">
      <c r="A119"/>
      <c r="B119"/>
      <c r="C119"/>
    </row>
    <row r="120" spans="1:6" x14ac:dyDescent="0.25">
      <c r="A120"/>
      <c r="B120"/>
      <c r="C120"/>
    </row>
    <row r="121" spans="1:6" x14ac:dyDescent="0.25">
      <c r="A121"/>
      <c r="B121"/>
      <c r="C121"/>
    </row>
    <row r="122" spans="1:6" x14ac:dyDescent="0.25">
      <c r="A122"/>
      <c r="B122"/>
      <c r="C122"/>
    </row>
    <row r="123" spans="1:6" x14ac:dyDescent="0.25">
      <c r="A123"/>
      <c r="B123"/>
      <c r="C123"/>
    </row>
    <row r="124" spans="1:6" x14ac:dyDescent="0.25">
      <c r="A124"/>
      <c r="B124"/>
      <c r="C124"/>
    </row>
    <row r="125" spans="1:6" x14ac:dyDescent="0.25">
      <c r="A125"/>
      <c r="B125"/>
      <c r="C125"/>
    </row>
    <row r="126" spans="1:6" x14ac:dyDescent="0.25">
      <c r="A126"/>
      <c r="B126"/>
      <c r="C126"/>
    </row>
    <row r="127" spans="1:6" x14ac:dyDescent="0.25">
      <c r="A127"/>
      <c r="B127"/>
      <c r="C127"/>
    </row>
    <row r="128" spans="1:6" x14ac:dyDescent="0.25">
      <c r="A128"/>
      <c r="B128"/>
      <c r="C128"/>
    </row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  <c r="C132"/>
    </row>
    <row r="133" spans="1:3" x14ac:dyDescent="0.25">
      <c r="A133"/>
      <c r="B133"/>
      <c r="C133"/>
    </row>
    <row r="134" spans="1:3" x14ac:dyDescent="0.25">
      <c r="A134"/>
      <c r="B134"/>
      <c r="C134"/>
    </row>
    <row r="135" spans="1:3" x14ac:dyDescent="0.25">
      <c r="A135"/>
      <c r="B135"/>
      <c r="C135"/>
    </row>
    <row r="136" spans="1:3" x14ac:dyDescent="0.25">
      <c r="A136"/>
      <c r="B136"/>
      <c r="C136"/>
    </row>
    <row r="137" spans="1:3" x14ac:dyDescent="0.25">
      <c r="A137"/>
      <c r="B137"/>
      <c r="C137"/>
    </row>
    <row r="138" spans="1:3" x14ac:dyDescent="0.25">
      <c r="A138"/>
      <c r="B138"/>
      <c r="C138"/>
    </row>
    <row r="139" spans="1:3" x14ac:dyDescent="0.25">
      <c r="A139"/>
      <c r="B139"/>
      <c r="C139"/>
    </row>
    <row r="140" spans="1:3" x14ac:dyDescent="0.25">
      <c r="A140"/>
      <c r="B140"/>
      <c r="C140"/>
    </row>
    <row r="141" spans="1:3" x14ac:dyDescent="0.25">
      <c r="A141"/>
      <c r="B141"/>
      <c r="C141"/>
    </row>
    <row r="142" spans="1:3" x14ac:dyDescent="0.25">
      <c r="A142"/>
      <c r="B142"/>
      <c r="C142"/>
    </row>
    <row r="143" spans="1:3" x14ac:dyDescent="0.25">
      <c r="A143"/>
      <c r="B143"/>
      <c r="C143"/>
    </row>
    <row r="144" spans="1:3" x14ac:dyDescent="0.25">
      <c r="A144"/>
      <c r="B144"/>
      <c r="C144"/>
    </row>
    <row r="145" spans="1:3" x14ac:dyDescent="0.25">
      <c r="A145"/>
      <c r="B145"/>
      <c r="C145"/>
    </row>
    <row r="146" spans="1:3" x14ac:dyDescent="0.25">
      <c r="A146"/>
      <c r="B146"/>
      <c r="C146"/>
    </row>
    <row r="147" spans="1:3" x14ac:dyDescent="0.25">
      <c r="A147"/>
      <c r="B147"/>
      <c r="C147"/>
    </row>
    <row r="148" spans="1:3" x14ac:dyDescent="0.25">
      <c r="A148"/>
      <c r="B148"/>
      <c r="C148"/>
    </row>
    <row r="149" spans="1:3" x14ac:dyDescent="0.25">
      <c r="A149"/>
      <c r="B149"/>
      <c r="C149"/>
    </row>
    <row r="150" spans="1:3" x14ac:dyDescent="0.25">
      <c r="A150"/>
      <c r="B150"/>
      <c r="C150"/>
    </row>
    <row r="151" spans="1:3" x14ac:dyDescent="0.25">
      <c r="A151"/>
      <c r="B151"/>
      <c r="C151"/>
    </row>
    <row r="152" spans="1:3" x14ac:dyDescent="0.25">
      <c r="A152"/>
      <c r="B152"/>
      <c r="C152"/>
    </row>
    <row r="153" spans="1:3" x14ac:dyDescent="0.25">
      <c r="A153"/>
      <c r="B153"/>
      <c r="C153"/>
    </row>
    <row r="154" spans="1:3" x14ac:dyDescent="0.25">
      <c r="A154"/>
      <c r="B154"/>
      <c r="C154"/>
    </row>
    <row r="155" spans="1:3" x14ac:dyDescent="0.25">
      <c r="A155"/>
      <c r="B155"/>
      <c r="C155"/>
    </row>
    <row r="156" spans="1:3" x14ac:dyDescent="0.25">
      <c r="A156"/>
      <c r="B156"/>
      <c r="C156"/>
    </row>
    <row r="157" spans="1:3" x14ac:dyDescent="0.25">
      <c r="A157"/>
      <c r="B157"/>
      <c r="C157"/>
    </row>
    <row r="158" spans="1:3" x14ac:dyDescent="0.25">
      <c r="A158"/>
      <c r="B158"/>
      <c r="C158"/>
    </row>
    <row r="159" spans="1:3" x14ac:dyDescent="0.25">
      <c r="A159"/>
      <c r="B159"/>
      <c r="C159"/>
    </row>
    <row r="160" spans="1:3" x14ac:dyDescent="0.25">
      <c r="A160"/>
      <c r="B160"/>
      <c r="C160"/>
    </row>
    <row r="161" spans="1:3" x14ac:dyDescent="0.25">
      <c r="A161"/>
      <c r="B161"/>
      <c r="C161"/>
    </row>
    <row r="162" spans="1:3" x14ac:dyDescent="0.25">
      <c r="A162"/>
      <c r="B162"/>
      <c r="C162"/>
    </row>
    <row r="163" spans="1:3" x14ac:dyDescent="0.25">
      <c r="A163"/>
      <c r="B163"/>
      <c r="C163"/>
    </row>
    <row r="164" spans="1:3" x14ac:dyDescent="0.25">
      <c r="A164"/>
      <c r="B164"/>
      <c r="C164"/>
    </row>
    <row r="165" spans="1:3" x14ac:dyDescent="0.25">
      <c r="A165"/>
      <c r="B165"/>
      <c r="C165"/>
    </row>
    <row r="166" spans="1:3" x14ac:dyDescent="0.25">
      <c r="A166"/>
      <c r="B166"/>
      <c r="C166"/>
    </row>
    <row r="167" spans="1:3" x14ac:dyDescent="0.25">
      <c r="A167"/>
      <c r="B167"/>
      <c r="C167"/>
    </row>
    <row r="168" spans="1:3" x14ac:dyDescent="0.25">
      <c r="A168"/>
      <c r="B168"/>
      <c r="C168"/>
    </row>
    <row r="169" spans="1:3" x14ac:dyDescent="0.25">
      <c r="A169"/>
      <c r="B169"/>
      <c r="C169"/>
    </row>
    <row r="170" spans="1:3" x14ac:dyDescent="0.25">
      <c r="A170"/>
      <c r="B170"/>
      <c r="C170"/>
    </row>
    <row r="171" spans="1:3" x14ac:dyDescent="0.25">
      <c r="A171"/>
      <c r="B171"/>
      <c r="C171"/>
    </row>
    <row r="172" spans="1:3" x14ac:dyDescent="0.25">
      <c r="A172"/>
      <c r="B172"/>
      <c r="C172"/>
    </row>
    <row r="173" spans="1:3" x14ac:dyDescent="0.25">
      <c r="A173"/>
      <c r="B173"/>
      <c r="C173"/>
    </row>
    <row r="174" spans="1:3" x14ac:dyDescent="0.25">
      <c r="A174"/>
      <c r="B174"/>
      <c r="C174"/>
    </row>
    <row r="175" spans="1:3" x14ac:dyDescent="0.25">
      <c r="A175"/>
      <c r="B175"/>
      <c r="C175"/>
    </row>
    <row r="176" spans="1:3" x14ac:dyDescent="0.25">
      <c r="A176"/>
      <c r="B176"/>
      <c r="C176"/>
    </row>
    <row r="177" spans="1:3" x14ac:dyDescent="0.25">
      <c r="A177"/>
      <c r="B177"/>
      <c r="C177"/>
    </row>
    <row r="178" spans="1:3" x14ac:dyDescent="0.25">
      <c r="A178"/>
      <c r="B178"/>
      <c r="C178"/>
    </row>
    <row r="179" spans="1:3" x14ac:dyDescent="0.25">
      <c r="A179"/>
      <c r="B179"/>
      <c r="C179"/>
    </row>
    <row r="180" spans="1:3" x14ac:dyDescent="0.25">
      <c r="A180"/>
      <c r="B180"/>
      <c r="C180"/>
    </row>
    <row r="181" spans="1:3" x14ac:dyDescent="0.25">
      <c r="A181"/>
      <c r="B181"/>
      <c r="C181"/>
    </row>
    <row r="182" spans="1:3" x14ac:dyDescent="0.25">
      <c r="A182"/>
      <c r="B182"/>
      <c r="C182"/>
    </row>
    <row r="183" spans="1:3" x14ac:dyDescent="0.25">
      <c r="A183"/>
      <c r="B183"/>
      <c r="C183"/>
    </row>
    <row r="184" spans="1:3" x14ac:dyDescent="0.25">
      <c r="A184"/>
      <c r="B184"/>
      <c r="C184"/>
    </row>
    <row r="185" spans="1:3" x14ac:dyDescent="0.25">
      <c r="A185"/>
      <c r="B185"/>
      <c r="C185"/>
    </row>
    <row r="186" spans="1:3" x14ac:dyDescent="0.25">
      <c r="A186"/>
      <c r="B186"/>
      <c r="C186"/>
    </row>
    <row r="187" spans="1:3" x14ac:dyDescent="0.25">
      <c r="A187"/>
      <c r="B187"/>
      <c r="C187"/>
    </row>
    <row r="188" spans="1:3" x14ac:dyDescent="0.25">
      <c r="A188"/>
      <c r="B188"/>
      <c r="C188"/>
    </row>
    <row r="189" spans="1:3" x14ac:dyDescent="0.25">
      <c r="A189"/>
      <c r="B189"/>
      <c r="C189"/>
    </row>
    <row r="190" spans="1:3" x14ac:dyDescent="0.25">
      <c r="A190"/>
      <c r="B190"/>
      <c r="C190"/>
    </row>
    <row r="191" spans="1:3" x14ac:dyDescent="0.25">
      <c r="A191"/>
      <c r="B191"/>
      <c r="C191"/>
    </row>
    <row r="192" spans="1:3" x14ac:dyDescent="0.25">
      <c r="A192"/>
      <c r="B192"/>
      <c r="C192"/>
    </row>
    <row r="193" spans="1:3" x14ac:dyDescent="0.25">
      <c r="A193"/>
      <c r="B193"/>
      <c r="C193"/>
    </row>
    <row r="194" spans="1:3" x14ac:dyDescent="0.25">
      <c r="A194"/>
      <c r="B194"/>
      <c r="C194"/>
    </row>
    <row r="195" spans="1:3" x14ac:dyDescent="0.25">
      <c r="A195"/>
      <c r="B195"/>
      <c r="C195"/>
    </row>
    <row r="196" spans="1:3" x14ac:dyDescent="0.25">
      <c r="A196"/>
      <c r="B196"/>
      <c r="C196"/>
    </row>
    <row r="197" spans="1:3" x14ac:dyDescent="0.25">
      <c r="A197"/>
      <c r="B197"/>
      <c r="C197"/>
    </row>
    <row r="198" spans="1:3" x14ac:dyDescent="0.25">
      <c r="A198"/>
      <c r="B198"/>
      <c r="C198"/>
    </row>
    <row r="199" spans="1:3" x14ac:dyDescent="0.25">
      <c r="A199"/>
      <c r="B199"/>
      <c r="C199"/>
    </row>
    <row r="200" spans="1:3" x14ac:dyDescent="0.25">
      <c r="A200"/>
      <c r="B200"/>
      <c r="C200"/>
    </row>
    <row r="201" spans="1:3" x14ac:dyDescent="0.25">
      <c r="A201"/>
      <c r="B201"/>
      <c r="C201"/>
    </row>
    <row r="202" spans="1:3" x14ac:dyDescent="0.25">
      <c r="A202"/>
      <c r="B202"/>
      <c r="C202"/>
    </row>
    <row r="203" spans="1:3" x14ac:dyDescent="0.25">
      <c r="A203"/>
      <c r="B203"/>
      <c r="C203"/>
    </row>
    <row r="204" spans="1:3" x14ac:dyDescent="0.25">
      <c r="A204"/>
      <c r="B204"/>
      <c r="C204"/>
    </row>
    <row r="205" spans="1:3" x14ac:dyDescent="0.25">
      <c r="A205"/>
      <c r="B205"/>
      <c r="C205"/>
    </row>
    <row r="206" spans="1:3" x14ac:dyDescent="0.25">
      <c r="A206"/>
      <c r="B206"/>
      <c r="C206"/>
    </row>
    <row r="207" spans="1:3" x14ac:dyDescent="0.25">
      <c r="A207"/>
      <c r="B207"/>
      <c r="C207"/>
    </row>
    <row r="208" spans="1:3" x14ac:dyDescent="0.25">
      <c r="A208"/>
      <c r="B208"/>
      <c r="C208"/>
    </row>
    <row r="209" spans="1:3" x14ac:dyDescent="0.25">
      <c r="A209"/>
      <c r="B209"/>
      <c r="C209"/>
    </row>
    <row r="210" spans="1:3" x14ac:dyDescent="0.25">
      <c r="A210"/>
      <c r="B210"/>
      <c r="C210"/>
    </row>
    <row r="211" spans="1:3" x14ac:dyDescent="0.25">
      <c r="A211"/>
      <c r="B211"/>
      <c r="C211"/>
    </row>
    <row r="212" spans="1:3" x14ac:dyDescent="0.25">
      <c r="A212"/>
      <c r="B212"/>
      <c r="C212"/>
    </row>
    <row r="213" spans="1:3" x14ac:dyDescent="0.25">
      <c r="A213"/>
      <c r="B213"/>
      <c r="C213"/>
    </row>
    <row r="214" spans="1:3" x14ac:dyDescent="0.25">
      <c r="A214"/>
      <c r="B214"/>
      <c r="C214"/>
    </row>
    <row r="215" spans="1:3" x14ac:dyDescent="0.25">
      <c r="A215"/>
      <c r="B215"/>
      <c r="C215"/>
    </row>
    <row r="216" spans="1:3" x14ac:dyDescent="0.25">
      <c r="A216"/>
      <c r="B216"/>
      <c r="C216"/>
    </row>
    <row r="217" spans="1:3" x14ac:dyDescent="0.25">
      <c r="A217"/>
      <c r="B217"/>
      <c r="C217"/>
    </row>
    <row r="218" spans="1:3" x14ac:dyDescent="0.25">
      <c r="A218"/>
      <c r="B218"/>
      <c r="C218"/>
    </row>
    <row r="219" spans="1:3" x14ac:dyDescent="0.25">
      <c r="A219"/>
      <c r="B219"/>
      <c r="C219"/>
    </row>
    <row r="220" spans="1:3" x14ac:dyDescent="0.25">
      <c r="A220"/>
      <c r="B220"/>
      <c r="C220"/>
    </row>
    <row r="221" spans="1:3" x14ac:dyDescent="0.25">
      <c r="A221"/>
      <c r="B221"/>
      <c r="C221"/>
    </row>
    <row r="222" spans="1:3" x14ac:dyDescent="0.25">
      <c r="A222"/>
      <c r="B222"/>
      <c r="C222"/>
    </row>
    <row r="223" spans="1:3" x14ac:dyDescent="0.25">
      <c r="A223"/>
      <c r="B223"/>
      <c r="C223"/>
    </row>
    <row r="224" spans="1:3" x14ac:dyDescent="0.25">
      <c r="A224"/>
      <c r="B224"/>
      <c r="C224"/>
    </row>
    <row r="225" spans="1:3" x14ac:dyDescent="0.25">
      <c r="A225"/>
      <c r="B225"/>
      <c r="C225"/>
    </row>
    <row r="226" spans="1:3" x14ac:dyDescent="0.25">
      <c r="A226"/>
      <c r="B226"/>
      <c r="C226"/>
    </row>
    <row r="227" spans="1:3" x14ac:dyDescent="0.25">
      <c r="A227"/>
      <c r="B227"/>
      <c r="C227"/>
    </row>
    <row r="228" spans="1:3" x14ac:dyDescent="0.25">
      <c r="A228"/>
      <c r="B228"/>
      <c r="C228"/>
    </row>
    <row r="229" spans="1:3" x14ac:dyDescent="0.25">
      <c r="A229"/>
      <c r="B229"/>
      <c r="C229"/>
    </row>
    <row r="230" spans="1:3" x14ac:dyDescent="0.25">
      <c r="A230"/>
      <c r="B230"/>
      <c r="C230"/>
    </row>
    <row r="231" spans="1:3" x14ac:dyDescent="0.25">
      <c r="A231"/>
      <c r="B231"/>
      <c r="C231"/>
    </row>
    <row r="232" spans="1:3" x14ac:dyDescent="0.25">
      <c r="A232"/>
      <c r="B232"/>
      <c r="C232"/>
    </row>
    <row r="233" spans="1:3" x14ac:dyDescent="0.25">
      <c r="A233"/>
      <c r="B233"/>
      <c r="C233"/>
    </row>
    <row r="234" spans="1:3" x14ac:dyDescent="0.25">
      <c r="A234"/>
      <c r="B234"/>
      <c r="C234"/>
    </row>
    <row r="235" spans="1:3" x14ac:dyDescent="0.25">
      <c r="A235"/>
      <c r="B235"/>
      <c r="C235"/>
    </row>
    <row r="236" spans="1:3" x14ac:dyDescent="0.25">
      <c r="A236"/>
      <c r="B236"/>
      <c r="C236"/>
    </row>
    <row r="237" spans="1:3" x14ac:dyDescent="0.25">
      <c r="A237"/>
      <c r="B237"/>
      <c r="C237"/>
    </row>
    <row r="238" spans="1:3" x14ac:dyDescent="0.25">
      <c r="A238"/>
      <c r="B238"/>
      <c r="C238"/>
    </row>
    <row r="239" spans="1:3" x14ac:dyDescent="0.25">
      <c r="A239"/>
      <c r="B239"/>
      <c r="C239"/>
    </row>
    <row r="240" spans="1:3" x14ac:dyDescent="0.25">
      <c r="A240"/>
      <c r="B240"/>
      <c r="C240"/>
    </row>
    <row r="241" spans="1:3" x14ac:dyDescent="0.25">
      <c r="A241"/>
      <c r="B241"/>
      <c r="C241"/>
    </row>
    <row r="242" spans="1:3" x14ac:dyDescent="0.25">
      <c r="A242"/>
      <c r="B242"/>
      <c r="C242"/>
    </row>
    <row r="243" spans="1:3" x14ac:dyDescent="0.25">
      <c r="A243"/>
      <c r="B243"/>
      <c r="C243"/>
    </row>
    <row r="244" spans="1:3" x14ac:dyDescent="0.25">
      <c r="A244"/>
      <c r="B244"/>
      <c r="C244"/>
    </row>
    <row r="245" spans="1:3" x14ac:dyDescent="0.25">
      <c r="A245"/>
      <c r="B245"/>
      <c r="C245"/>
    </row>
    <row r="246" spans="1:3" x14ac:dyDescent="0.25">
      <c r="A246"/>
      <c r="B246"/>
      <c r="C246"/>
    </row>
    <row r="247" spans="1:3" x14ac:dyDescent="0.25">
      <c r="A247"/>
      <c r="B247"/>
      <c r="C247"/>
    </row>
    <row r="248" spans="1:3" x14ac:dyDescent="0.25">
      <c r="A248"/>
      <c r="B248"/>
      <c r="C248"/>
    </row>
    <row r="249" spans="1:3" x14ac:dyDescent="0.25">
      <c r="A249"/>
      <c r="B249"/>
      <c r="C249"/>
    </row>
    <row r="250" spans="1:3" x14ac:dyDescent="0.25">
      <c r="A250"/>
      <c r="B250"/>
      <c r="C250"/>
    </row>
    <row r="251" spans="1:3" x14ac:dyDescent="0.25">
      <c r="A251"/>
      <c r="B251"/>
      <c r="C251"/>
    </row>
    <row r="252" spans="1:3" x14ac:dyDescent="0.25">
      <c r="A252"/>
      <c r="B252"/>
      <c r="C252"/>
    </row>
    <row r="253" spans="1:3" x14ac:dyDescent="0.25">
      <c r="A253"/>
      <c r="B253"/>
      <c r="C253"/>
    </row>
    <row r="254" spans="1:3" x14ac:dyDescent="0.25">
      <c r="A254"/>
      <c r="B254"/>
      <c r="C254"/>
    </row>
    <row r="255" spans="1:3" x14ac:dyDescent="0.25">
      <c r="A255"/>
      <c r="B255"/>
      <c r="C255"/>
    </row>
    <row r="256" spans="1:3" x14ac:dyDescent="0.25">
      <c r="A256"/>
      <c r="B256"/>
      <c r="C256"/>
    </row>
    <row r="257" spans="1:3" x14ac:dyDescent="0.25">
      <c r="A257"/>
      <c r="B257"/>
      <c r="C257"/>
    </row>
    <row r="258" spans="1:3" x14ac:dyDescent="0.25">
      <c r="A258"/>
      <c r="B258"/>
      <c r="C258"/>
    </row>
    <row r="259" spans="1:3" x14ac:dyDescent="0.25">
      <c r="A259"/>
      <c r="B259"/>
      <c r="C259"/>
    </row>
    <row r="260" spans="1:3" x14ac:dyDescent="0.25">
      <c r="A260"/>
      <c r="B260"/>
      <c r="C260"/>
    </row>
    <row r="261" spans="1:3" x14ac:dyDescent="0.25">
      <c r="A261"/>
      <c r="B261"/>
      <c r="C261"/>
    </row>
    <row r="262" spans="1:3" x14ac:dyDescent="0.25">
      <c r="A262"/>
      <c r="B262"/>
      <c r="C262"/>
    </row>
    <row r="263" spans="1:3" x14ac:dyDescent="0.25">
      <c r="A263"/>
      <c r="B263"/>
      <c r="C263"/>
    </row>
    <row r="264" spans="1:3" x14ac:dyDescent="0.25">
      <c r="A264"/>
      <c r="B264"/>
      <c r="C264"/>
    </row>
    <row r="265" spans="1:3" x14ac:dyDescent="0.25">
      <c r="A265"/>
      <c r="B265"/>
      <c r="C265"/>
    </row>
    <row r="266" spans="1:3" x14ac:dyDescent="0.25">
      <c r="A266"/>
      <c r="B266"/>
      <c r="C266"/>
    </row>
    <row r="267" spans="1:3" x14ac:dyDescent="0.25">
      <c r="A267"/>
      <c r="B267"/>
      <c r="C267"/>
    </row>
    <row r="268" spans="1:3" x14ac:dyDescent="0.25">
      <c r="A268"/>
      <c r="B268"/>
      <c r="C268"/>
    </row>
    <row r="269" spans="1:3" x14ac:dyDescent="0.25">
      <c r="A269"/>
      <c r="B269"/>
      <c r="C269"/>
    </row>
    <row r="270" spans="1:3" x14ac:dyDescent="0.25">
      <c r="A270"/>
      <c r="B270"/>
      <c r="C270"/>
    </row>
    <row r="271" spans="1:3" x14ac:dyDescent="0.25">
      <c r="A271"/>
      <c r="B271"/>
      <c r="C271"/>
    </row>
    <row r="272" spans="1:3" x14ac:dyDescent="0.25">
      <c r="A272"/>
      <c r="B272"/>
      <c r="C272"/>
    </row>
    <row r="273" spans="1:3" x14ac:dyDescent="0.25">
      <c r="A273"/>
      <c r="B273"/>
      <c r="C273"/>
    </row>
    <row r="274" spans="1:3" x14ac:dyDescent="0.25">
      <c r="A274"/>
      <c r="B274"/>
      <c r="C274"/>
    </row>
    <row r="275" spans="1:3" x14ac:dyDescent="0.25">
      <c r="A275"/>
      <c r="B275"/>
      <c r="C275"/>
    </row>
    <row r="276" spans="1:3" x14ac:dyDescent="0.25">
      <c r="A276"/>
      <c r="B276"/>
      <c r="C276"/>
    </row>
    <row r="277" spans="1:3" x14ac:dyDescent="0.25">
      <c r="A277"/>
      <c r="B277"/>
      <c r="C277"/>
    </row>
    <row r="278" spans="1:3" x14ac:dyDescent="0.25">
      <c r="A278"/>
      <c r="B278"/>
      <c r="C278"/>
    </row>
    <row r="279" spans="1:3" x14ac:dyDescent="0.25">
      <c r="A279"/>
      <c r="B279"/>
      <c r="C279"/>
    </row>
    <row r="280" spans="1:3" x14ac:dyDescent="0.25">
      <c r="A280"/>
      <c r="B280"/>
      <c r="C280"/>
    </row>
    <row r="281" spans="1:3" x14ac:dyDescent="0.25">
      <c r="A281"/>
      <c r="B281"/>
      <c r="C281"/>
    </row>
    <row r="282" spans="1:3" x14ac:dyDescent="0.25">
      <c r="A282"/>
      <c r="B282"/>
      <c r="C282"/>
    </row>
    <row r="283" spans="1:3" x14ac:dyDescent="0.25">
      <c r="A283"/>
      <c r="B283"/>
      <c r="C283"/>
    </row>
    <row r="284" spans="1:3" x14ac:dyDescent="0.25">
      <c r="A284"/>
      <c r="B284"/>
      <c r="C284"/>
    </row>
    <row r="285" spans="1:3" x14ac:dyDescent="0.25">
      <c r="A285"/>
      <c r="B285"/>
      <c r="C285"/>
    </row>
    <row r="286" spans="1:3" x14ac:dyDescent="0.25">
      <c r="A286"/>
      <c r="B286"/>
      <c r="C286"/>
    </row>
    <row r="287" spans="1:3" x14ac:dyDescent="0.25">
      <c r="A287"/>
      <c r="B287"/>
      <c r="C287"/>
    </row>
    <row r="288" spans="1:3" x14ac:dyDescent="0.25">
      <c r="A288"/>
      <c r="B288"/>
      <c r="C288"/>
    </row>
    <row r="289" spans="1:3" x14ac:dyDescent="0.25">
      <c r="A289"/>
      <c r="B289"/>
      <c r="C289"/>
    </row>
    <row r="290" spans="1:3" x14ac:dyDescent="0.25">
      <c r="A290"/>
      <c r="B290"/>
      <c r="C290"/>
    </row>
    <row r="291" spans="1:3" x14ac:dyDescent="0.25">
      <c r="A291"/>
      <c r="B291"/>
      <c r="C291"/>
    </row>
    <row r="292" spans="1:3" x14ac:dyDescent="0.25">
      <c r="A292"/>
      <c r="B292"/>
      <c r="C292"/>
    </row>
    <row r="293" spans="1:3" x14ac:dyDescent="0.25">
      <c r="A293"/>
      <c r="B293"/>
      <c r="C293"/>
    </row>
    <row r="294" spans="1:3" x14ac:dyDescent="0.25">
      <c r="A294"/>
      <c r="B294"/>
      <c r="C294"/>
    </row>
    <row r="295" spans="1:3" x14ac:dyDescent="0.25">
      <c r="A295"/>
      <c r="B295"/>
      <c r="C295"/>
    </row>
    <row r="296" spans="1:3" x14ac:dyDescent="0.25">
      <c r="A296"/>
      <c r="B296"/>
      <c r="C296"/>
    </row>
    <row r="297" spans="1:3" x14ac:dyDescent="0.25">
      <c r="A297"/>
      <c r="B297"/>
      <c r="C297"/>
    </row>
    <row r="298" spans="1:3" x14ac:dyDescent="0.25">
      <c r="A298"/>
      <c r="B298"/>
      <c r="C298"/>
    </row>
    <row r="299" spans="1:3" x14ac:dyDescent="0.25">
      <c r="A299"/>
      <c r="B299"/>
      <c r="C299"/>
    </row>
    <row r="300" spans="1:3" x14ac:dyDescent="0.25">
      <c r="A300"/>
      <c r="B300"/>
      <c r="C300"/>
    </row>
    <row r="301" spans="1:3" x14ac:dyDescent="0.25">
      <c r="A301"/>
      <c r="B301"/>
      <c r="C301"/>
    </row>
    <row r="302" spans="1:3" x14ac:dyDescent="0.25">
      <c r="A302"/>
      <c r="B302"/>
      <c r="C302"/>
    </row>
    <row r="303" spans="1:3" x14ac:dyDescent="0.25">
      <c r="A303"/>
      <c r="B303"/>
      <c r="C303"/>
    </row>
    <row r="304" spans="1:3" x14ac:dyDescent="0.25">
      <c r="A304"/>
      <c r="B304"/>
      <c r="C304"/>
    </row>
    <row r="305" spans="1:3" x14ac:dyDescent="0.25">
      <c r="A305"/>
      <c r="B305"/>
      <c r="C305"/>
    </row>
    <row r="306" spans="1:3" x14ac:dyDescent="0.25">
      <c r="A306"/>
      <c r="B306"/>
      <c r="C306"/>
    </row>
    <row r="307" spans="1:3" x14ac:dyDescent="0.25">
      <c r="A307"/>
      <c r="B307"/>
      <c r="C307"/>
    </row>
    <row r="308" spans="1:3" x14ac:dyDescent="0.25">
      <c r="A308"/>
      <c r="B308"/>
      <c r="C308"/>
    </row>
    <row r="309" spans="1:3" x14ac:dyDescent="0.25">
      <c r="A309"/>
      <c r="B309"/>
      <c r="C309"/>
    </row>
    <row r="310" spans="1:3" x14ac:dyDescent="0.25">
      <c r="A310"/>
      <c r="B310"/>
      <c r="C310"/>
    </row>
    <row r="311" spans="1:3" x14ac:dyDescent="0.25">
      <c r="A311"/>
      <c r="B311"/>
      <c r="C311"/>
    </row>
    <row r="312" spans="1:3" x14ac:dyDescent="0.25">
      <c r="A312"/>
      <c r="B312"/>
      <c r="C312"/>
    </row>
    <row r="313" spans="1:3" x14ac:dyDescent="0.25">
      <c r="A313"/>
      <c r="B313"/>
      <c r="C313"/>
    </row>
    <row r="314" spans="1:3" x14ac:dyDescent="0.25">
      <c r="A314"/>
      <c r="B314"/>
      <c r="C314"/>
    </row>
    <row r="315" spans="1:3" x14ac:dyDescent="0.25">
      <c r="A315"/>
      <c r="B315"/>
      <c r="C315"/>
    </row>
    <row r="316" spans="1:3" x14ac:dyDescent="0.25">
      <c r="A316"/>
      <c r="B316"/>
      <c r="C316"/>
    </row>
    <row r="317" spans="1:3" x14ac:dyDescent="0.25">
      <c r="A317"/>
      <c r="B317"/>
      <c r="C317"/>
    </row>
    <row r="318" spans="1:3" x14ac:dyDescent="0.25">
      <c r="A318"/>
      <c r="B318"/>
      <c r="C318"/>
    </row>
    <row r="319" spans="1:3" x14ac:dyDescent="0.25">
      <c r="A319"/>
      <c r="B319"/>
      <c r="C319"/>
    </row>
    <row r="320" spans="1:3" x14ac:dyDescent="0.25">
      <c r="A320"/>
      <c r="B320"/>
      <c r="C320"/>
    </row>
    <row r="321" spans="1:3" x14ac:dyDescent="0.25">
      <c r="A321"/>
      <c r="B321"/>
      <c r="C321"/>
    </row>
    <row r="322" spans="1:3" x14ac:dyDescent="0.25">
      <c r="A322"/>
      <c r="B322"/>
      <c r="C322"/>
    </row>
    <row r="323" spans="1:3" x14ac:dyDescent="0.25">
      <c r="A323"/>
      <c r="B323"/>
      <c r="C323"/>
    </row>
    <row r="324" spans="1:3" x14ac:dyDescent="0.25">
      <c r="A324"/>
      <c r="B324"/>
      <c r="C324"/>
    </row>
    <row r="325" spans="1:3" x14ac:dyDescent="0.25">
      <c r="A325"/>
      <c r="B325"/>
      <c r="C325"/>
    </row>
    <row r="326" spans="1:3" x14ac:dyDescent="0.25">
      <c r="A326"/>
      <c r="B326"/>
      <c r="C326"/>
    </row>
    <row r="327" spans="1:3" x14ac:dyDescent="0.25">
      <c r="A327"/>
      <c r="B327"/>
      <c r="C327"/>
    </row>
    <row r="328" spans="1:3" x14ac:dyDescent="0.25">
      <c r="A328"/>
      <c r="B328"/>
      <c r="C328"/>
    </row>
    <row r="329" spans="1:3" x14ac:dyDescent="0.25">
      <c r="A329"/>
      <c r="B329"/>
      <c r="C329"/>
    </row>
    <row r="330" spans="1:3" x14ac:dyDescent="0.25">
      <c r="A330"/>
      <c r="B330"/>
      <c r="C330"/>
    </row>
    <row r="331" spans="1:3" x14ac:dyDescent="0.25">
      <c r="A331"/>
      <c r="B331"/>
      <c r="C331"/>
    </row>
    <row r="332" spans="1:3" x14ac:dyDescent="0.25">
      <c r="A332"/>
      <c r="B332"/>
      <c r="C332"/>
    </row>
    <row r="333" spans="1:3" x14ac:dyDescent="0.25">
      <c r="A333"/>
      <c r="B333"/>
      <c r="C333"/>
    </row>
    <row r="334" spans="1:3" x14ac:dyDescent="0.25">
      <c r="A334"/>
      <c r="B334"/>
      <c r="C334"/>
    </row>
    <row r="335" spans="1:3" x14ac:dyDescent="0.25">
      <c r="A335"/>
      <c r="B335"/>
      <c r="C335"/>
    </row>
    <row r="336" spans="1:3" x14ac:dyDescent="0.25">
      <c r="A336"/>
      <c r="B336"/>
      <c r="C336"/>
    </row>
    <row r="337" spans="1:3" x14ac:dyDescent="0.25">
      <c r="A337"/>
      <c r="B337"/>
      <c r="C337"/>
    </row>
    <row r="338" spans="1:3" x14ac:dyDescent="0.25">
      <c r="A338"/>
      <c r="B338"/>
      <c r="C338"/>
    </row>
    <row r="339" spans="1:3" x14ac:dyDescent="0.25">
      <c r="A339"/>
      <c r="B339"/>
      <c r="C339"/>
    </row>
    <row r="340" spans="1:3" x14ac:dyDescent="0.25">
      <c r="A340"/>
      <c r="B340"/>
      <c r="C340"/>
    </row>
    <row r="341" spans="1:3" x14ac:dyDescent="0.25">
      <c r="A341"/>
      <c r="B341"/>
      <c r="C341"/>
    </row>
    <row r="342" spans="1:3" x14ac:dyDescent="0.25">
      <c r="A342"/>
      <c r="B342"/>
      <c r="C342"/>
    </row>
    <row r="343" spans="1:3" x14ac:dyDescent="0.25">
      <c r="A343"/>
      <c r="B343"/>
      <c r="C343"/>
    </row>
    <row r="344" spans="1:3" x14ac:dyDescent="0.25">
      <c r="A344"/>
      <c r="B344"/>
      <c r="C344"/>
    </row>
    <row r="345" spans="1:3" x14ac:dyDescent="0.25">
      <c r="A345"/>
      <c r="B345"/>
      <c r="C345"/>
    </row>
    <row r="346" spans="1:3" x14ac:dyDescent="0.25">
      <c r="A346"/>
      <c r="B346"/>
      <c r="C346"/>
    </row>
    <row r="347" spans="1:3" x14ac:dyDescent="0.25">
      <c r="A347"/>
      <c r="B347"/>
      <c r="C347"/>
    </row>
    <row r="348" spans="1:3" x14ac:dyDescent="0.25">
      <c r="A348"/>
      <c r="B348"/>
      <c r="C348"/>
    </row>
    <row r="349" spans="1:3" x14ac:dyDescent="0.25">
      <c r="A349"/>
      <c r="B349"/>
      <c r="C349"/>
    </row>
    <row r="350" spans="1:3" x14ac:dyDescent="0.25">
      <c r="A350"/>
      <c r="B350"/>
      <c r="C350"/>
    </row>
    <row r="351" spans="1:3" x14ac:dyDescent="0.25">
      <c r="A351"/>
      <c r="B351"/>
      <c r="C351"/>
    </row>
    <row r="352" spans="1:3" x14ac:dyDescent="0.25">
      <c r="A352"/>
      <c r="B352"/>
      <c r="C352"/>
    </row>
    <row r="353" spans="1:3" x14ac:dyDescent="0.25">
      <c r="A353"/>
      <c r="B353"/>
      <c r="C353"/>
    </row>
    <row r="354" spans="1:3" x14ac:dyDescent="0.25">
      <c r="A354"/>
      <c r="B354"/>
      <c r="C354"/>
    </row>
    <row r="355" spans="1:3" x14ac:dyDescent="0.25">
      <c r="A355"/>
      <c r="B355"/>
      <c r="C355"/>
    </row>
    <row r="356" spans="1:3" x14ac:dyDescent="0.25">
      <c r="A356"/>
      <c r="B356"/>
      <c r="C356"/>
    </row>
    <row r="357" spans="1:3" x14ac:dyDescent="0.25">
      <c r="A357"/>
      <c r="B357"/>
      <c r="C357"/>
    </row>
    <row r="358" spans="1:3" x14ac:dyDescent="0.25">
      <c r="A358"/>
      <c r="B358"/>
      <c r="C358"/>
    </row>
    <row r="359" spans="1:3" x14ac:dyDescent="0.25">
      <c r="A359"/>
      <c r="B359"/>
      <c r="C359"/>
    </row>
    <row r="360" spans="1:3" x14ac:dyDescent="0.25">
      <c r="A360"/>
      <c r="B360"/>
      <c r="C360"/>
    </row>
    <row r="361" spans="1:3" x14ac:dyDescent="0.25">
      <c r="A361"/>
      <c r="B361"/>
      <c r="C361"/>
    </row>
    <row r="362" spans="1:3" x14ac:dyDescent="0.25">
      <c r="A362"/>
      <c r="B362"/>
      <c r="C362"/>
    </row>
    <row r="363" spans="1:3" x14ac:dyDescent="0.25">
      <c r="A363"/>
      <c r="B363"/>
      <c r="C363"/>
    </row>
    <row r="364" spans="1:3" x14ac:dyDescent="0.25">
      <c r="A364"/>
      <c r="B364"/>
      <c r="C364"/>
    </row>
    <row r="365" spans="1:3" x14ac:dyDescent="0.25">
      <c r="A365"/>
      <c r="B365"/>
      <c r="C365"/>
    </row>
    <row r="366" spans="1:3" x14ac:dyDescent="0.25">
      <c r="A366"/>
      <c r="B366"/>
      <c r="C366"/>
    </row>
    <row r="367" spans="1:3" x14ac:dyDescent="0.25">
      <c r="A367"/>
      <c r="B367"/>
      <c r="C367"/>
    </row>
    <row r="368" spans="1:3" x14ac:dyDescent="0.25">
      <c r="A368"/>
      <c r="B368"/>
      <c r="C368"/>
    </row>
    <row r="369" spans="1:3" x14ac:dyDescent="0.25">
      <c r="A369"/>
      <c r="B369"/>
      <c r="C369"/>
    </row>
    <row r="370" spans="1:3" x14ac:dyDescent="0.25">
      <c r="A370"/>
      <c r="B370"/>
      <c r="C370"/>
    </row>
    <row r="371" spans="1:3" x14ac:dyDescent="0.25">
      <c r="A371"/>
      <c r="B371"/>
      <c r="C371"/>
    </row>
    <row r="372" spans="1:3" x14ac:dyDescent="0.25">
      <c r="A372"/>
      <c r="B372"/>
      <c r="C372"/>
    </row>
    <row r="373" spans="1:3" x14ac:dyDescent="0.25">
      <c r="A373"/>
      <c r="B373"/>
      <c r="C373"/>
    </row>
    <row r="374" spans="1:3" x14ac:dyDescent="0.25">
      <c r="A374"/>
      <c r="B374"/>
      <c r="C374"/>
    </row>
    <row r="375" spans="1:3" x14ac:dyDescent="0.25">
      <c r="A375"/>
      <c r="B375"/>
      <c r="C375"/>
    </row>
    <row r="376" spans="1:3" x14ac:dyDescent="0.25">
      <c r="A376"/>
      <c r="B376"/>
      <c r="C376"/>
    </row>
    <row r="377" spans="1:3" x14ac:dyDescent="0.25">
      <c r="A377"/>
      <c r="B377"/>
      <c r="C377"/>
    </row>
    <row r="378" spans="1:3" x14ac:dyDescent="0.25">
      <c r="A378"/>
      <c r="B378"/>
      <c r="C378"/>
    </row>
    <row r="379" spans="1:3" x14ac:dyDescent="0.25">
      <c r="A379"/>
      <c r="B379"/>
      <c r="C379"/>
    </row>
    <row r="380" spans="1:3" x14ac:dyDescent="0.25">
      <c r="A380"/>
      <c r="B380"/>
      <c r="C380"/>
    </row>
    <row r="381" spans="1:3" x14ac:dyDescent="0.25">
      <c r="A381"/>
      <c r="B381"/>
      <c r="C381"/>
    </row>
    <row r="382" spans="1:3" x14ac:dyDescent="0.25">
      <c r="A382"/>
      <c r="B382"/>
      <c r="C382"/>
    </row>
    <row r="383" spans="1:3" x14ac:dyDescent="0.25">
      <c r="A383"/>
      <c r="B383"/>
      <c r="C383"/>
    </row>
    <row r="384" spans="1:3" x14ac:dyDescent="0.25">
      <c r="A384"/>
      <c r="B384"/>
      <c r="C384"/>
    </row>
    <row r="385" spans="1:3" x14ac:dyDescent="0.25">
      <c r="A385"/>
      <c r="B385"/>
      <c r="C385"/>
    </row>
    <row r="386" spans="1:3" x14ac:dyDescent="0.25">
      <c r="A386"/>
      <c r="B386"/>
      <c r="C386"/>
    </row>
    <row r="387" spans="1:3" x14ac:dyDescent="0.25">
      <c r="A387"/>
      <c r="B387"/>
      <c r="C387"/>
    </row>
    <row r="388" spans="1:3" x14ac:dyDescent="0.25">
      <c r="A388"/>
      <c r="B388"/>
      <c r="C388"/>
    </row>
    <row r="389" spans="1:3" x14ac:dyDescent="0.25">
      <c r="A389"/>
      <c r="B389"/>
      <c r="C389"/>
    </row>
    <row r="390" spans="1:3" x14ac:dyDescent="0.25">
      <c r="A390"/>
      <c r="B390"/>
      <c r="C390"/>
    </row>
    <row r="391" spans="1:3" x14ac:dyDescent="0.25">
      <c r="A391"/>
      <c r="B391"/>
      <c r="C391"/>
    </row>
    <row r="392" spans="1:3" x14ac:dyDescent="0.25">
      <c r="A392"/>
      <c r="B392"/>
      <c r="C392"/>
    </row>
    <row r="393" spans="1:3" x14ac:dyDescent="0.25">
      <c r="A393"/>
      <c r="B393"/>
      <c r="C393"/>
    </row>
    <row r="394" spans="1:3" x14ac:dyDescent="0.25">
      <c r="A394"/>
      <c r="B394"/>
      <c r="C394"/>
    </row>
    <row r="395" spans="1:3" x14ac:dyDescent="0.25">
      <c r="A395"/>
      <c r="B395"/>
      <c r="C395"/>
    </row>
    <row r="396" spans="1:3" x14ac:dyDescent="0.25">
      <c r="A396"/>
      <c r="B396"/>
      <c r="C396"/>
    </row>
    <row r="397" spans="1:3" x14ac:dyDescent="0.25">
      <c r="A397"/>
      <c r="B397"/>
      <c r="C397"/>
    </row>
    <row r="398" spans="1:3" x14ac:dyDescent="0.25">
      <c r="A398"/>
      <c r="B398"/>
      <c r="C398"/>
    </row>
    <row r="399" spans="1:3" x14ac:dyDescent="0.25">
      <c r="A399"/>
      <c r="B399"/>
      <c r="C399"/>
    </row>
    <row r="400" spans="1:3" x14ac:dyDescent="0.25">
      <c r="A400"/>
      <c r="B400"/>
      <c r="C400"/>
    </row>
    <row r="401" spans="1:3" x14ac:dyDescent="0.25">
      <c r="A401"/>
      <c r="B401"/>
      <c r="C401"/>
    </row>
    <row r="402" spans="1:3" x14ac:dyDescent="0.25">
      <c r="A402"/>
      <c r="B402"/>
      <c r="C402"/>
    </row>
    <row r="403" spans="1:3" x14ac:dyDescent="0.25">
      <c r="A403"/>
      <c r="B403"/>
      <c r="C403"/>
    </row>
    <row r="404" spans="1:3" x14ac:dyDescent="0.25">
      <c r="A404"/>
      <c r="B404"/>
      <c r="C404"/>
    </row>
    <row r="405" spans="1:3" x14ac:dyDescent="0.25">
      <c r="A405"/>
      <c r="B405"/>
      <c r="C405"/>
    </row>
    <row r="406" spans="1:3" x14ac:dyDescent="0.25">
      <c r="A406"/>
      <c r="B406"/>
      <c r="C406"/>
    </row>
    <row r="407" spans="1:3" x14ac:dyDescent="0.25">
      <c r="A407"/>
      <c r="B407"/>
      <c r="C407"/>
    </row>
    <row r="408" spans="1:3" x14ac:dyDescent="0.25">
      <c r="A408"/>
      <c r="B408"/>
      <c r="C408"/>
    </row>
    <row r="409" spans="1:3" x14ac:dyDescent="0.25">
      <c r="A409"/>
      <c r="B409"/>
      <c r="C409"/>
    </row>
    <row r="410" spans="1:3" x14ac:dyDescent="0.25">
      <c r="A410"/>
      <c r="B410"/>
      <c r="C410"/>
    </row>
    <row r="411" spans="1:3" x14ac:dyDescent="0.25">
      <c r="A411"/>
      <c r="B411"/>
      <c r="C411"/>
    </row>
    <row r="412" spans="1:3" x14ac:dyDescent="0.25">
      <c r="A412"/>
      <c r="B412"/>
      <c r="C412"/>
    </row>
    <row r="413" spans="1:3" x14ac:dyDescent="0.25">
      <c r="A413"/>
      <c r="B413"/>
      <c r="C413"/>
    </row>
    <row r="414" spans="1:3" x14ac:dyDescent="0.25">
      <c r="A414"/>
      <c r="B414"/>
      <c r="C414"/>
    </row>
  </sheetData>
  <autoFilter ref="A1:F115" xr:uid="{BD2FD6DC-8FB3-4B50-8D75-B0117DC5ED9A}">
    <filterColumn colId="5">
      <filters>
        <filter val="DEFAULTER"/>
      </filters>
    </filterColumn>
  </autoFilter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EE1AD-C3B0-4CA1-A748-AD96742D8823}">
  <sheetPr codeName="Sheet5"/>
  <dimension ref="A1:M28"/>
  <sheetViews>
    <sheetView tabSelected="1" workbookViewId="0"/>
  </sheetViews>
  <sheetFormatPr defaultRowHeight="12.75" x14ac:dyDescent="0.2"/>
  <cols>
    <col min="1" max="1" width="10.42578125" bestFit="1" customWidth="1"/>
    <col min="2" max="2" width="20.7109375" bestFit="1" customWidth="1"/>
    <col min="3" max="3" width="20.140625" bestFit="1" customWidth="1"/>
    <col min="4" max="4" width="10.140625" bestFit="1" customWidth="1"/>
    <col min="5" max="5" width="13.7109375" bestFit="1" customWidth="1"/>
    <col min="6" max="6" width="17.5703125" bestFit="1" customWidth="1"/>
    <col min="11" max="11" width="17.28515625" bestFit="1" customWidth="1"/>
    <col min="12" max="12" width="15" bestFit="1" customWidth="1"/>
    <col min="13" max="13" width="8.85546875" bestFit="1" customWidth="1"/>
  </cols>
  <sheetData>
    <row r="1" spans="1:13" ht="15" x14ac:dyDescent="0.25">
      <c r="A1" s="3" t="s">
        <v>0</v>
      </c>
      <c r="B1" s="3" t="s">
        <v>1</v>
      </c>
      <c r="C1" s="3" t="s">
        <v>2</v>
      </c>
      <c r="D1" s="3" t="s">
        <v>397</v>
      </c>
      <c r="E1" s="3" t="s">
        <v>396</v>
      </c>
      <c r="F1" s="3" t="s">
        <v>398</v>
      </c>
      <c r="K1" s="10" t="s">
        <v>403</v>
      </c>
      <c r="L1" s="10"/>
      <c r="M1" s="10"/>
    </row>
    <row r="2" spans="1:13" ht="15" x14ac:dyDescent="0.25">
      <c r="A2" s="7">
        <v>44287</v>
      </c>
      <c r="B2" s="8" t="s">
        <v>48</v>
      </c>
      <c r="C2" s="8" t="s">
        <v>70</v>
      </c>
      <c r="D2" s="9" t="s">
        <v>392</v>
      </c>
      <c r="E2" s="9">
        <v>2.25</v>
      </c>
      <c r="F2" s="9" t="s">
        <v>404</v>
      </c>
      <c r="K2" s="6" t="s">
        <v>390</v>
      </c>
      <c r="L2" s="6" t="s">
        <v>391</v>
      </c>
      <c r="M2" s="6" t="s">
        <v>399</v>
      </c>
    </row>
    <row r="3" spans="1:13" ht="15" x14ac:dyDescent="0.25">
      <c r="A3" s="7">
        <v>44287</v>
      </c>
      <c r="B3" s="8" t="s">
        <v>11</v>
      </c>
      <c r="C3" s="8" t="s">
        <v>57</v>
      </c>
      <c r="D3" s="9" t="s">
        <v>395</v>
      </c>
      <c r="E3" s="9">
        <v>5</v>
      </c>
      <c r="F3" s="9" t="s">
        <v>404</v>
      </c>
      <c r="K3" s="1" t="s">
        <v>394</v>
      </c>
      <c r="L3" s="1" t="s">
        <v>402</v>
      </c>
      <c r="M3" s="1" t="s">
        <v>392</v>
      </c>
    </row>
    <row r="4" spans="1:13" ht="15" x14ac:dyDescent="0.25">
      <c r="A4" s="7">
        <v>44287</v>
      </c>
      <c r="B4" s="8" t="s">
        <v>39</v>
      </c>
      <c r="C4" s="8" t="s">
        <v>67</v>
      </c>
      <c r="D4" s="9" t="s">
        <v>392</v>
      </c>
      <c r="E4" s="9">
        <v>4.5</v>
      </c>
      <c r="F4" s="9" t="s">
        <v>404</v>
      </c>
    </row>
    <row r="5" spans="1:13" ht="15" x14ac:dyDescent="0.25">
      <c r="A5" s="7">
        <v>44287</v>
      </c>
      <c r="B5" s="8" t="s">
        <v>54</v>
      </c>
      <c r="C5" s="8" t="s">
        <v>68</v>
      </c>
      <c r="D5" s="9" t="s">
        <v>392</v>
      </c>
      <c r="E5" s="9">
        <v>3.5</v>
      </c>
      <c r="F5" s="9" t="s">
        <v>404</v>
      </c>
    </row>
    <row r="6" spans="1:13" ht="15" x14ac:dyDescent="0.25">
      <c r="A6" s="7">
        <v>44287</v>
      </c>
      <c r="B6" s="8" t="s">
        <v>41</v>
      </c>
      <c r="C6" s="8" t="s">
        <v>67</v>
      </c>
      <c r="D6" s="9" t="s">
        <v>392</v>
      </c>
      <c r="E6" s="9">
        <v>1</v>
      </c>
      <c r="F6" s="9" t="s">
        <v>404</v>
      </c>
    </row>
    <row r="7" spans="1:13" ht="15" x14ac:dyDescent="0.25">
      <c r="A7" s="7">
        <v>44288</v>
      </c>
      <c r="B7" s="8" t="s">
        <v>19</v>
      </c>
      <c r="C7" s="8" t="s">
        <v>59</v>
      </c>
      <c r="D7" s="9" t="s">
        <v>392</v>
      </c>
      <c r="E7" s="9">
        <v>0</v>
      </c>
      <c r="F7" s="9" t="s">
        <v>404</v>
      </c>
    </row>
    <row r="8" spans="1:13" ht="15" x14ac:dyDescent="0.25">
      <c r="A8" s="7">
        <v>44288</v>
      </c>
      <c r="B8" s="8" t="s">
        <v>40</v>
      </c>
      <c r="C8" s="8" t="s">
        <v>63</v>
      </c>
      <c r="D8" s="9" t="s">
        <v>392</v>
      </c>
      <c r="E8" s="9">
        <v>0</v>
      </c>
      <c r="F8" s="9" t="s">
        <v>404</v>
      </c>
    </row>
    <row r="9" spans="1:13" ht="15" x14ac:dyDescent="0.25">
      <c r="A9" s="7">
        <v>44288</v>
      </c>
      <c r="B9" s="8" t="s">
        <v>17</v>
      </c>
      <c r="C9" s="8" t="s">
        <v>60</v>
      </c>
      <c r="D9" s="9" t="s">
        <v>392</v>
      </c>
      <c r="E9" s="9">
        <v>5</v>
      </c>
      <c r="F9" s="9" t="s">
        <v>404</v>
      </c>
    </row>
    <row r="10" spans="1:13" ht="15" x14ac:dyDescent="0.25">
      <c r="A10" s="7">
        <v>44288</v>
      </c>
      <c r="B10" s="8" t="s">
        <v>48</v>
      </c>
      <c r="C10" s="8" t="s">
        <v>70</v>
      </c>
      <c r="D10" s="9" t="s">
        <v>392</v>
      </c>
      <c r="E10" s="9">
        <v>2.25</v>
      </c>
      <c r="F10" s="9" t="s">
        <v>404</v>
      </c>
    </row>
    <row r="11" spans="1:13" ht="15" x14ac:dyDescent="0.25">
      <c r="A11" s="7">
        <v>44288</v>
      </c>
      <c r="B11" s="8" t="s">
        <v>30</v>
      </c>
      <c r="C11" s="8" t="s">
        <v>59</v>
      </c>
      <c r="D11" s="9" t="s">
        <v>392</v>
      </c>
      <c r="E11" s="9">
        <v>0</v>
      </c>
      <c r="F11" s="9" t="s">
        <v>404</v>
      </c>
    </row>
    <row r="12" spans="1:13" ht="15" x14ac:dyDescent="0.25">
      <c r="A12" s="7">
        <v>44288</v>
      </c>
      <c r="B12" s="8" t="s">
        <v>28</v>
      </c>
      <c r="C12" s="8" t="s">
        <v>59</v>
      </c>
      <c r="D12" s="9" t="s">
        <v>392</v>
      </c>
      <c r="E12" s="9">
        <v>0</v>
      </c>
      <c r="F12" s="9" t="s">
        <v>404</v>
      </c>
    </row>
    <row r="13" spans="1:13" ht="15" x14ac:dyDescent="0.25">
      <c r="A13" s="7">
        <v>44288</v>
      </c>
      <c r="B13" s="8" t="s">
        <v>16</v>
      </c>
      <c r="C13" s="8" t="s">
        <v>59</v>
      </c>
      <c r="D13" s="9" t="s">
        <v>395</v>
      </c>
      <c r="E13" s="9">
        <v>0</v>
      </c>
      <c r="F13" s="9" t="s">
        <v>404</v>
      </c>
    </row>
    <row r="14" spans="1:13" ht="15" x14ac:dyDescent="0.25">
      <c r="A14" s="7">
        <v>44288</v>
      </c>
      <c r="B14" s="8" t="s">
        <v>20</v>
      </c>
      <c r="C14" s="8" t="s">
        <v>59</v>
      </c>
      <c r="D14" s="9" t="s">
        <v>392</v>
      </c>
      <c r="E14" s="9">
        <v>0</v>
      </c>
      <c r="F14" s="9" t="s">
        <v>404</v>
      </c>
    </row>
    <row r="15" spans="1:13" ht="15" x14ac:dyDescent="0.25">
      <c r="A15" s="7">
        <v>44288</v>
      </c>
      <c r="B15" s="8" t="s">
        <v>18</v>
      </c>
      <c r="C15" s="8" t="s">
        <v>59</v>
      </c>
      <c r="D15" s="9" t="s">
        <v>392</v>
      </c>
      <c r="E15" s="9">
        <v>0</v>
      </c>
      <c r="F15" s="9" t="s">
        <v>404</v>
      </c>
    </row>
    <row r="16" spans="1:13" ht="15" x14ac:dyDescent="0.25">
      <c r="A16" s="7">
        <v>44288</v>
      </c>
      <c r="B16" s="8" t="s">
        <v>31</v>
      </c>
      <c r="C16" s="8" t="s">
        <v>59</v>
      </c>
      <c r="D16" s="9" t="s">
        <v>392</v>
      </c>
      <c r="E16" s="9">
        <v>0</v>
      </c>
      <c r="F16" s="9" t="s">
        <v>404</v>
      </c>
    </row>
    <row r="17" spans="1:6" ht="15" x14ac:dyDescent="0.25">
      <c r="A17" s="7">
        <v>44288</v>
      </c>
      <c r="B17" s="8" t="s">
        <v>27</v>
      </c>
      <c r="C17" s="8" t="s">
        <v>59</v>
      </c>
      <c r="D17" s="9" t="s">
        <v>392</v>
      </c>
      <c r="E17" s="9">
        <v>0</v>
      </c>
      <c r="F17" s="9" t="s">
        <v>404</v>
      </c>
    </row>
    <row r="18" spans="1:6" ht="15" x14ac:dyDescent="0.25">
      <c r="A18" s="7">
        <v>44288</v>
      </c>
      <c r="B18" s="8" t="s">
        <v>13</v>
      </c>
      <c r="C18" s="8" t="s">
        <v>59</v>
      </c>
      <c r="D18" s="9" t="s">
        <v>395</v>
      </c>
      <c r="E18" s="9">
        <v>0</v>
      </c>
      <c r="F18" s="9" t="s">
        <v>404</v>
      </c>
    </row>
    <row r="19" spans="1:6" ht="15" x14ac:dyDescent="0.25">
      <c r="A19" s="7">
        <v>44288</v>
      </c>
      <c r="B19" s="8" t="s">
        <v>14</v>
      </c>
      <c r="C19" s="8" t="s">
        <v>60</v>
      </c>
      <c r="D19" s="9" t="s">
        <v>392</v>
      </c>
      <c r="E19" s="9">
        <v>4</v>
      </c>
      <c r="F19" s="9" t="s">
        <v>404</v>
      </c>
    </row>
    <row r="20" spans="1:6" ht="15" x14ac:dyDescent="0.25">
      <c r="A20" s="7">
        <v>44288</v>
      </c>
      <c r="B20" s="8" t="s">
        <v>26</v>
      </c>
      <c r="C20" s="8" t="s">
        <v>59</v>
      </c>
      <c r="D20" s="9" t="s">
        <v>392</v>
      </c>
      <c r="E20" s="9">
        <v>0</v>
      </c>
      <c r="F20" s="9" t="s">
        <v>404</v>
      </c>
    </row>
    <row r="21" spans="1:6" ht="15" x14ac:dyDescent="0.25">
      <c r="A21" s="7">
        <v>44288</v>
      </c>
      <c r="B21" s="8" t="s">
        <v>41</v>
      </c>
      <c r="C21" s="8" t="s">
        <v>67</v>
      </c>
      <c r="D21" s="9" t="s">
        <v>392</v>
      </c>
      <c r="E21" s="9">
        <v>1</v>
      </c>
      <c r="F21" s="9" t="s">
        <v>404</v>
      </c>
    </row>
    <row r="22" spans="1:6" ht="15" x14ac:dyDescent="0.25">
      <c r="A22" s="7">
        <v>44288</v>
      </c>
      <c r="B22" s="8" t="s">
        <v>23</v>
      </c>
      <c r="C22" s="8" t="s">
        <v>59</v>
      </c>
      <c r="D22" s="9" t="s">
        <v>392</v>
      </c>
      <c r="E22" s="9">
        <v>0</v>
      </c>
      <c r="F22" s="9" t="s">
        <v>404</v>
      </c>
    </row>
    <row r="23" spans="1:6" ht="15" x14ac:dyDescent="0.25">
      <c r="A23" s="7">
        <v>44288</v>
      </c>
      <c r="B23" s="8" t="s">
        <v>15</v>
      </c>
      <c r="C23" s="8" t="s">
        <v>59</v>
      </c>
      <c r="D23" s="9" t="s">
        <v>392</v>
      </c>
      <c r="E23" s="9">
        <v>0</v>
      </c>
      <c r="F23" s="9" t="s">
        <v>404</v>
      </c>
    </row>
    <row r="24" spans="1:6" ht="15" x14ac:dyDescent="0.25">
      <c r="A24" s="7">
        <v>44289</v>
      </c>
      <c r="B24" s="8" t="s">
        <v>17</v>
      </c>
      <c r="C24" s="8" t="s">
        <v>60</v>
      </c>
      <c r="D24" s="9" t="s">
        <v>392</v>
      </c>
      <c r="E24" s="9">
        <v>5</v>
      </c>
      <c r="F24" s="9" t="s">
        <v>404</v>
      </c>
    </row>
    <row r="25" spans="1:6" ht="15" x14ac:dyDescent="0.25">
      <c r="A25" s="7">
        <v>44289</v>
      </c>
      <c r="B25" s="8" t="s">
        <v>36</v>
      </c>
      <c r="C25" s="8" t="s">
        <v>65</v>
      </c>
      <c r="D25" s="9" t="s">
        <v>392</v>
      </c>
      <c r="E25" s="9">
        <v>1</v>
      </c>
      <c r="F25" s="9" t="s">
        <v>404</v>
      </c>
    </row>
    <row r="26" spans="1:6" ht="15" x14ac:dyDescent="0.25">
      <c r="A26" s="7">
        <v>44289</v>
      </c>
      <c r="B26" s="8" t="s">
        <v>14</v>
      </c>
      <c r="C26" s="8" t="s">
        <v>60</v>
      </c>
      <c r="D26" s="9" t="s">
        <v>392</v>
      </c>
      <c r="E26" s="9">
        <v>4</v>
      </c>
      <c r="F26" s="9" t="s">
        <v>404</v>
      </c>
    </row>
    <row r="27" spans="1:6" ht="15" x14ac:dyDescent="0.25">
      <c r="A27" s="7">
        <v>44291</v>
      </c>
      <c r="B27" s="8" t="s">
        <v>48</v>
      </c>
      <c r="C27" s="8" t="s">
        <v>70</v>
      </c>
      <c r="D27" s="9" t="s">
        <v>392</v>
      </c>
      <c r="E27" s="9">
        <v>2.25</v>
      </c>
      <c r="F27" s="9" t="s">
        <v>404</v>
      </c>
    </row>
    <row r="28" spans="1:6" ht="15" x14ac:dyDescent="0.25">
      <c r="A28" s="7">
        <v>44291</v>
      </c>
      <c r="B28" s="8" t="s">
        <v>39</v>
      </c>
      <c r="C28" s="8" t="s">
        <v>67</v>
      </c>
      <c r="D28" s="9" t="s">
        <v>392</v>
      </c>
      <c r="E28" s="9">
        <v>4.5</v>
      </c>
      <c r="F28" s="9" t="s">
        <v>404</v>
      </c>
    </row>
  </sheetData>
  <sortState xmlns:xlrd2="http://schemas.microsoft.com/office/spreadsheetml/2017/richdata2" ref="A2:F28">
    <sortCondition ref="A2:A28"/>
    <sortCondition ref="B2:B28"/>
  </sortState>
  <mergeCells count="1">
    <mergeCell ref="K1:M1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MACRO</vt:lpstr>
      <vt:lpstr>Team Detail</vt:lpstr>
      <vt:lpstr>RAW DATA</vt:lpstr>
      <vt:lpstr>CALCULATION</vt:lpstr>
      <vt:lpstr>DEFAULTERS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Surendra Tripathi</dc:creator>
  <cp:lastModifiedBy>Harsh.x.Gupta</cp:lastModifiedBy>
  <dcterms:created xsi:type="dcterms:W3CDTF">2021-04-06T15:24:50Z</dcterms:created>
  <dcterms:modified xsi:type="dcterms:W3CDTF">2021-04-11T15:10:37Z</dcterms:modified>
</cp:coreProperties>
</file>